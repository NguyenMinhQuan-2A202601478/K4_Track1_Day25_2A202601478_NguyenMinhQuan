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ad6fa0658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ae9638712bf645c4"/>
    <x:sheet xmlns:r="http://schemas.openxmlformats.org/officeDocument/2006/relationships" name="1_Cost_Job" sheetId="2" r:id="R172aa94c658b49a1"/>
    <x:sheet xmlns:r="http://schemas.openxmlformats.org/officeDocument/2006/relationships" name="2_Pricing" sheetId="3" r:id="R7c46a3b8047f4463"/>
    <x:sheet xmlns:r="http://schemas.openxmlformats.org/officeDocument/2006/relationships" name="3_Value_Metric" sheetId="4" r:id="Ra48b00fae4ca4090"/>
    <x:sheet xmlns:r="http://schemas.openxmlformats.org/officeDocument/2006/relationships" name="4_Channel_Fit" sheetId="5" r:id="R843a21e097534e00"/>
    <x:sheet xmlns:r="http://schemas.openxmlformats.org/officeDocument/2006/relationships" name="5_90Day_Plan" sheetId="6" r:id="Rd36fc1131c174a43"/>
    <x:sheet xmlns:r="http://schemas.openxmlformats.org/officeDocument/2006/relationships" name="6_Benchmarks" sheetId="7" r:id="R3f566fa338444d0e"/>
    <x:sheet xmlns:r="http://schemas.openxmlformats.org/officeDocument/2006/relationships" name="7_Prompt_Critique" sheetId="8" r:id="Rb61909c4ddfe4aa9"/>
    <x:sheet xmlns:r="http://schemas.openxmlformats.org/officeDocument/2006/relationships" name="8_Validation_Artifacts" sheetId="9" r:id="R51ff6613d7724fb3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5" authorId="0">
      <x:text>
        <x:r>
          <x:t>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<x:sst xmlns:x="http://schemas.openxmlformats.org/spreadsheetml/2006/main">
  <x:si>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</x:si>
  <x:si>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</x:si>
  <x:si>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</x:si>
  <x:si>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</x:si>
  <x:si>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</x:si>
  <x:si>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</x:si>
  <x:si>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</x:si>
  <x:si>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</x:si>
  <x:si>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</x:si>
  <x:si>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</x:si>
  <x:si>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</x:si>
  <x:si>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</x:si>
  <x:si>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</x:si>
  <x:si>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</x:si>
  <x:si>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</x:si>
  <x:si>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</x:si>
  <x:si>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</x:si>
  <x:si>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</x:si>
  <x:si>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</x:si>
  <x:si>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</x:si>
  <x:si>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</x:si>
  <x:si>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</x:si>
  <x:si>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</x:si>
  <x:si>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</x:si>
  <x:si>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</x:si>
  <x:si>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</x:si>
  <x:si>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</x:si>
  <x:si>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</x:si>
  <x:si>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</x:si>
  <x:si>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</x:si>
  <x:si>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</x:si>
  <x:si>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</x:si>
  <x:si>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</x:si>
  <x:si>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</x:si>
  <x:si>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</x:si>
  <x:si>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</x:si>
  <x:si>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</x:si>
  <x:si>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</x:si>
  <x:si>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</x:si>
  <x:si>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</x:si>
  <x:si>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</x:si>
  <x:si>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Lấy từ eval Day 21–22. Chưa đo → ước tính và ghi rõ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</x:si>
  <x:si>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</x:si>
  <x:si>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</x:si>
  <x:si>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</x:si>
  <x:si>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</x:si>
  <x:si>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</x:si>
  <x:si>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</x:si>
  <x:si>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Claude Haiku 4.5 — xem tab 6_Benchmarks</x:t>
  </x:si>
  <x:si>
    <x:t xml:space="preserve">Giá output ($ / 1M token)</x:t>
  </x:si>
  <x:si>
    <x:t xml:space="preserve">Giá cache WRITE ($ / 1M token)</x:t>
  </x:si>
  <x:si>
    <x:t xml:space="preserve">Anthropic 5-phút = 1,25× input</x:t>
  </x:si>
  <x:si>
    <x:t xml:space="preserve">Giá cache READ ($ / 1M token)</x:t>
  </x:si>
  <x:si>
    <x:t xml:space="preserve">≈ 0,1× input (giảm 90%)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</x:si>
  <x:si>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</x:si>
  <x:si>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</x:si>
  <x:si>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</x:si>
  <x:si>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</x:si>
  <x:si>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System prompt + KB + few-shot</x:t>
  </x:si>
  <x:si>
    <x:t xml:space="preserve">Token input FRESH / lượt</x:t>
  </x:si>
  <x:si>
    <x:t xml:space="preserve">Câu hỏi khách + dữ liệu động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</x:si>
  <x:si>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</x:si>
  <x:si>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</x:si>
  <x:si>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</x:si>
  <x:si>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</x:si>
  <x:si>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</x:si>
  <x:si>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</x:si>
  <x:si>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</x:si>
  <x:si>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</x:si>
  <x:si>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</x:si>
  <x:si>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</x:si>
  <x:si>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</x:si>
  <x:si>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</x:si>
  <x:si>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</x:si>
  <x:si>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</x:si>
  <x:si>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</x:si>
  <x:si>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</x:si>
  <x:si>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</x:si>
  <x:si>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</x:si>
  <x:si>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</x:si>
  <x:si>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</x:si>
  <x:si>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</x:si>
  <x:si>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</x:si>
  <x:si>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</x:si>
  <x:si>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</x:si>
  <x:si>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</x:si>
  <x:si>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Vector DB, embedding, storage, logging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</x:si>
  <x:si>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</x:si>
  <x:si>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</x:si>
  <x:si>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</x:si>
  <x:si>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</x:si>
  <x:si>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ĐỪNG để 0%. Thực tế 5–10% là bình thường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</x:si>
  <x:si>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</x:si>
  <x:si>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</x:si>
  <x:si>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</x:si>
  <x:si>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Gồm lương + bảo hiểm + quản lý + chỗ ngồi</x:t>
  </x:si>
  <x:si>
    <x:t xml:space="preserve">% hội thoại QA nội bộ</x:t>
  </x:si>
  <x:si>
    <x:t xml:space="preserve">Luôn có, kể cả Biến thể A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</x:si>
  <x:si>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</x:si>
  <x:si>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</x:si>
  <x:si>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</x:si>
  <x:si>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</x:si>
  <x:si>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</x:si>
  <x:si>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</x:si>
  <x:si>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</x:si>
  <x:si>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</x:si>
  <x:si>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Để 0 nếu chỉ muốn xem Cost/Job thuần COGS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</x:si>
  <x:si>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</x:si>
  <x:si>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</x:si>
  <x:si>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</x:si>
  <x:si>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</x:si>
  <x:si>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</x:si>
  <x:si>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</x:si>
  <x:si>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</x:si>
  <x:si>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</x:si>
  <x:si>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</x:si>
  <x:si>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</x:si>
  <x:si>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</x:si>
  <x:si>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Thay bằng tỷ giá thực tế khi làm bài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</x:si>
  <x:si>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</x:si>
  <x:si>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</x:si>
  <x:si>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</x:si>
  <x:si>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</x:si>
  <x:si>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</x:si>
  <x:si>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</x:si>
  <x:si>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</x:si>
  <x:si>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</x:si>
  <x:si>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</x:si>
  <x:si>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</x:si>
  <x:si>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</x:si>
  <x:si>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</x:si>
  <x:si>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</x:si>
  <x:si>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</x:si>
  <x:si>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</x:si>
  <x:si>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</x:si>
  <x:si>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Chuẩn Day 28: 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</x:si>
  <x:si>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</x:si>
  <x:si>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</x:si>
  <x:si>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</x:si>
  <x:si>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Neo theo giá trị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</x:si>
  <x:si>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</x:si>
  <x:si>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</x:si>
  <x:si>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</x:si>
  <x:si>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</x:si>
  <x:si>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Neo theo nhân công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</x:si>
  <x:si>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</x:si>
  <x:si>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</x:si>
  <x:si>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</x:si>
  <x:si>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</x:si>
  <x:si>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Tham chiếu: Intercom Fin $0,99 · Zendesk $1,50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</x:si>
  <x:si>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</x:si>
  <x:si>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</x:si>
  <x:si>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</x:si>
  <x:si>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</x:si>
  <x:si>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</x:si>
  <x:si>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</x:si>
  <x:si>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</x:si>
  <x:si>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</x:si>
  <x:si>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</x:si>
  <x:si>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</x:si>
  <x:si>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</x:si>
  <x:si>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</x:si>
  <x:si>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</x:si>
  <x:si>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</x:si>
  <x:si>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</x:si>
  <x:si>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</x:si>
  <x:si>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</x:si>
  <x:si>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</x:si>
  <x:si>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</x:si>
  <x:si>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</x:si>
  <x:si>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</x:si>
  <x:si>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</x:si>
  <x:si>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</x:si>
  <x:si>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</x:si>
  <x:si>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</x:si>
  <x:si>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</x:si>
  <x:si>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</x:si>
  <x:si>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</x:si>
  <x:si>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</x:si>
  <x:si>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</x:si>
  <x:si>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(Day 21–22)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</x:si>
  <x:si>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</x:si>
  <x:si>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</x:si>
  <x:si>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</x:si>
  <x:si>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</x:si>
  <x:si>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</x:si>
  <x:si>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</x:si>
  <x:si>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</x:si>
  <x:si>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</x:si>
  <x:si>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</x:si>
  <x:si>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</x:si>
  <x:si>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</x:si>
  <x:si>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</x:si>
  <x:si>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</x:si>
  <x:si>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</x:si>
  <x:si>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</x:si>
  <x:si>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</x:si>
  <x:si>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</x:si>
  <x:si>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</x:si>
  <x:si>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</x:si>
  <x:si>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</x:si>
  <x:si>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</x:si>
  <x:si>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</x:si>
  <x:si>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</x:si>
  <x:si>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</x:si>
  <x:si>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</x:si>
  <x:si>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</x:si>
  <x:si>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</x:si>
  <x:si>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</x:si>
  <x:si>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</x:si>
  <x:si>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</x:si>
  <x:si>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</x:si>
  <x:si>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</x:si>
  <x:si>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</x:si>
  <x:si>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</x:si>
  <x:si>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</x:si>
  <x:si>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</x:si>
  <x:si>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</x:si>
  <x:si>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</x:si>
  <x:si>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</x:si>
  <x:si>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Giả định gốc của Tunguz (2016) — thay bằng số thị trường bạn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</x:si>
  <x:si>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</x:si>
  <x:si>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</x:si>
  <x:si>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</x:si>
  <x:si>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</x:si>
  <x:si>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</x:si>
  <x:si>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</x:si>
  <x:si>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</x:si>
  <x:si>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</x:si>
  <x:si>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ICONIQ 2026 theo phân khúc: $6.300 · $8.000 · $11.200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</x:si>
  <x:si>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</x:si>
  <x:si>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</x:si>
  <x:si>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</x:si>
  <x:si>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</x:si>
  <x:si>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</x:si>
  <x:si>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</x:si>
  <x:si>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</x:si>
  <x:si>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</x:si>
  <x:si>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</x:si>
  <x:si>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</x:si>
  <x:si>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</x:si>
  <x:si>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</x:si>
  <x:si>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</x:si>
  <x:si>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</x:si>
  <x:si>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</x:si>
  <x:si>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</x:si>
  <x:si>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</x:si>
  <x:si>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</x:si>
  <x:si>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</x:si>
  <x:si>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</x:si>
  <x:si>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</x:si>
  <x:si>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</x:si>
  <x:si>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</x:si>
  <x:si>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</x:si>
  <x:si>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</x:si>
  <x:si>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</x:si>
  <x:si>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</x:si>
  <x:si>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</x:si>
  <x:si>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</x:si>
  <x:si>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</x:si>
  <x:si>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</x:si>
  <x:si>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</x:si>
  <x:si>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</x:si>
  <x:si>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</x:si>
  <x:si>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</x:si>
  <x:si>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</x:si>
  <x:si>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</x:si>
  <x:si>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</x:si>
  <x:si>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</x:si>
  <x:si>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</x:si>
  <x:si>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</x:si>
  <x:si>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</x:si>
  <x:si>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</x:si>
  <x:si>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</x:si>
  <x:si>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</x:si>
  <x:si>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</x:si>
  <x:si>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</x:si>
  <x:si>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</x:si>
  <x:si>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</x:si>
  <x:si>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</x:si>
  <x:si>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</x:si>
  <x:si>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(Day 21–22)</x:t>
  </x:si>
  <x:si>
    <x:t xml:space="preserve">2. Risk Checklist (Day 24)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</x:si>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</x:sst>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#,##0"/>
    <x:numFmt numFmtId="166" formatCode="0.0%"/>
    <x:numFmt numFmtId="167" formatCode="\$#,##0.00"/>
    <x:numFmt numFmtId="168" formatCode="\$#,##0.0000"/>
    <x:numFmt numFmtId="169" formatCode="#,##0.0"/>
    <x:numFmt numFmtId="170" formatCode="#,##0&quot; ₫&quot;"/>
    <x:numFmt numFmtId="171" formatCode="\$#,##0"/>
    <x:numFmt numFmtId="172" formatCode="#,##0.0\×"/>
    <x:numFmt numFmtId="173" formatCode="#,##0.00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name val="Arial"/>
    </x:font>
    <x:font>
      <x:sz val="10"/>
      <x:color rgb="FF008000"/>
      <x:name val="Arial"/>
    </x:font>
    <x:font>
      <x:b/>
      <x:sz val="10"/>
      <x:name val="Arial"/>
    </x:font>
    <x:font>
      <x:b/>
      <x:sz val="11"/>
      <x:color rgb="FFC0000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FFFFFF"/>
      <x:name val="Calibri"/>
    </x:font>
    <x:font>
      <x:i/>
      <x:sz val="11"/>
      <x:color rgb="FF334155"/>
      <x:name val="Calibri"/>
    </x:font>
    <x:font>
      <x:b/>
      <x:sz val="11"/>
      <x:color theme="1"/>
      <x:name val="Calibri"/>
    </x:font>
    <x:font>
      <x:i/>
      <x:sz val="11"/>
      <x:color theme="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E8EAF6"/>
      </x:patternFill>
    </x:fill>
    <x:fill>
      <x:patternFill patternType="solid">
        <x:fgColor rgb="FF1F2937"/>
      </x:patternFill>
    </x:fill>
    <x:fill>
      <x:patternFill patternType="solid">
        <x:fgColor rgb="FFEEF2FF"/>
      </x:patternFill>
    </x:fill>
    <x:fill>
      <x:patternFill patternType="solid">
        <x:fgColor rgb="FFE8ECF8"/>
      </x:patternFill>
    </x:fill>
    <x:fill>
      <x:patternFill patternType="solid">
        <x:fgColor rgb="FFF8FAFC"/>
      </x:patternFill>
    </x:fill>
  </x:fills>
  <x:borders count="10"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thin">
        <x:color rgb="FFCBD5E1"/>
      </x:left>
      <x:top style="thin">
        <x:color rgb="FFCBD5E1"/>
      </x:top>
      <x:bottom style="thin">
        <x:color rgb="FFCBD5E1"/>
      </x:bottom>
    </x:border>
    <x:border diagonalUp="0" diagonalDown="0">
      <x:top style="thin">
        <x:color rgb="FFCBD5E1"/>
      </x:top>
      <x:bottom style="thin">
        <x:color rgb="FFCBD5E1"/>
      </x:bottom>
    </x:border>
    <x:border diagonalUp="0" diagonalDown="0">
      <x:right style="thin">
        <x:color rgb="FFCBD5E1"/>
      </x:right>
      <x:top style="thin">
        <x:color rgb="FFCBD5E1"/>
      </x:top>
      <x:bottom style="thin">
        <x:color rgb="FFCBD5E1"/>
      </x:bottom>
    </x:border>
    <x:border diagonalUp="0" diagonalDown="0">
      <x:left style="thin">
        <x:color rgb="FFC9D0E3"/>
      </x:left>
      <x:top style="thin">
        <x:color rgb="FFC9D0E3"/>
      </x:top>
      <x:bottom style="thin">
        <x:color rgb="FFC9D0E3"/>
      </x:bottom>
    </x:border>
    <x:border diagonalUp="0" diagonalDown="0">
      <x:top style="thin">
        <x:color rgb="FFC9D0E3"/>
      </x:top>
      <x:bottom style="thin">
        <x:color rgb="FFC9D0E3"/>
      </x:bottom>
    </x:border>
    <x:border diagonalUp="0" diagonalDown="0">
      <x:right style="thin">
        <x:color rgb="FFC9D0E3"/>
      </x:right>
      <x:top style="thin">
        <x:color rgb="FFC9D0E3"/>
      </x:top>
      <x:bottom style="thin">
        <x:color rgb="FFC9D0E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3" borderId="1" xfId="0" applyFont="1" applyBorder="1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9" fillId="0" borderId="1" xfId="0" applyFont="1" applyBorder="1" applyAlignment="0">
      <x:alignment horizontal="general" vertical="bottom" wrapText="0"/>
    </x:xf>
    <x:xf numFmtId="164" fontId="8" fillId="5" borderId="1" xfId="0" applyFont="1" applyBorder="1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6" fillId="6" borderId="0" xfId="0" applyFont="1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  <x:xf numFmtId="164" fontId="7" fillId="3" borderId="1" xfId="0" applyFont="1" applyBorder="1" applyAlignment="1">
      <x:alignment horizontal="center" vertical="bottom" wrapText="0"/>
    </x:xf>
    <x:xf numFmtId="165" fontId="7" fillId="3" borderId="1" xfId="0" applyFont="1" applyBorder="1" applyAlignment="0">
      <x:alignment horizontal="general" vertical="bottom" wrapText="0"/>
    </x:xf>
    <x:xf numFmtId="166" fontId="7" fillId="3" borderId="1" xfId="0" applyFont="1" applyBorder="1" applyAlignment="0">
      <x:alignment horizontal="general" vertical="bottom" wrapText="0"/>
    </x:xf>
    <x:xf numFmtId="165" fontId="8" fillId="4" borderId="1" xfId="0" applyFont="1" applyBorder="1" applyAlignment="0">
      <x:alignment horizontal="general" vertical="bottom" wrapText="0"/>
    </x:xf>
    <x:xf numFmtId="167" fontId="7" fillId="3" borderId="1" xfId="0" applyFont="1" applyBorder="1" applyAlignment="0">
      <x:alignment horizontal="general" vertical="bottom" wrapText="0"/>
    </x:xf>
    <x:xf numFmtId="168" fontId="8" fillId="4" borderId="1" xfId="0" applyFont="1" applyBorder="1" applyAlignment="0">
      <x:alignment horizontal="general" vertical="bottom" wrapText="0"/>
    </x:xf>
    <x:xf numFmtId="168" fontId="11" fillId="4" borderId="1" xfId="0" applyFont="1" applyBorder="1" applyAlignment="0">
      <x:alignment horizontal="general" vertical="bottom" wrapText="0"/>
    </x:xf>
    <x:xf numFmtId="166" fontId="8" fillId="4" borderId="1" xfId="0" applyFont="1" applyBorder="1" applyAlignment="0">
      <x:alignment horizontal="general" vertical="bottom" wrapText="0"/>
    </x:xf>
    <x:xf numFmtId="168" fontId="7" fillId="3" borderId="1" xfId="0" applyFont="1" applyBorder="1" applyAlignment="0">
      <x:alignment horizontal="general" vertical="bottom" wrapText="0"/>
    </x:xf>
    <x:xf numFmtId="169" fontId="7" fillId="3" borderId="1" xfId="0" applyFont="1" applyBorder="1" applyAlignment="0">
      <x:alignment horizontal="general" vertical="bottom" wrapText="0"/>
    </x:xf>
    <x:xf numFmtId="167" fontId="8" fillId="4" borderId="1" xfId="0" applyFont="1" applyBorder="1" applyAlignment="0">
      <x:alignment horizontal="general" vertical="bottom" wrapText="0"/>
    </x:xf>
    <x:xf numFmtId="167" fontId="11" fillId="4" borderId="1" xfId="0" applyFont="1" applyBorder="1" applyAlignment="0">
      <x:alignment horizontal="general" vertical="bottom" wrapText="0"/>
    </x:xf>
    <x:xf numFmtId="170" fontId="8" fillId="4" borderId="1" xfId="0" applyFont="1" applyBorder="1" applyAlignment="0">
      <x:alignment horizontal="general" vertical="bottom" wrapText="0"/>
    </x:xf>
    <x:xf numFmtId="168" fontId="9" fillId="4" borderId="1" xfId="0" applyFont="1" applyBorder="1" applyAlignment="0">
      <x:alignment horizontal="general" vertical="bottom" wrapText="0"/>
    </x:xf>
    <x:xf numFmtId="171" fontId="7" fillId="3" borderId="1" xfId="0" applyFont="1" applyBorder="1" applyAlignment="0">
      <x:alignment horizontal="general" vertical="bottom" wrapText="0"/>
    </x:xf>
    <x:xf numFmtId="172" fontId="8" fillId="4" borderId="1" xfId="0" applyFont="1" applyBorder="1" applyAlignment="0">
      <x:alignment horizontal="general" vertical="bottom" wrapText="0"/>
    </x:xf>
    <x:xf numFmtId="166" fontId="11" fillId="4" borderId="1" xfId="0" applyFont="1" applyBorder="1" applyAlignment="0">
      <x:alignment horizontal="general" vertical="bottom" wrapText="0"/>
    </x:xf>
    <x:xf numFmtId="166" fontId="9" fillId="4" borderId="1" xfId="0" applyFont="1" applyBorder="1" applyAlignment="0">
      <x:alignment horizontal="general" vertical="bottom" wrapText="0"/>
    </x:xf>
    <x:xf numFmtId="164" fontId="10" fillId="5" borderId="1" xfId="0" applyFont="1" applyBorder="1" applyAlignment="0">
      <x:alignment horizontal="general" vertical="bottom" wrapText="0"/>
    </x:xf>
    <x:xf numFmtId="166" fontId="8" fillId="5" borderId="1" xfId="0" applyFont="1" applyBorder="1" applyAlignment="0">
      <x:alignment horizontal="general" vertical="bottom" wrapText="0"/>
    </x:xf>
    <x:xf numFmtId="165" fontId="11" fillId="4" borderId="1" xfId="0" applyFont="1" applyBorder="1" applyAlignment="0">
      <x:alignment horizontal="general" vertical="bottom" wrapText="0"/>
    </x:xf>
    <x:xf numFmtId="164" fontId="11" fillId="4" borderId="1" xfId="0" applyFont="1" applyBorder="1" applyAlignment="0">
      <x:alignment horizontal="general" vertical="bottom" wrapText="0"/>
    </x:xf>
    <x:xf numFmtId="171" fontId="11" fillId="4" borderId="1" xfId="0" applyFont="1" applyBorder="1" applyAlignment="0">
      <x:alignment horizontal="general" vertical="bottom" wrapText="0"/>
    </x:xf>
    <x:xf numFmtId="171" fontId="8" fillId="4" borderId="1" xfId="0" applyFont="1" applyBorder="1" applyAlignment="0">
      <x:alignment horizontal="general" vertical="bottom" wrapText="0"/>
    </x:xf>
    <x:xf numFmtId="173" fontId="11" fillId="4" borderId="1" xfId="0" applyFont="1" applyBorder="1" applyAlignment="0">
      <x:alignment horizontal="general" vertical="bottom" wrapText="0"/>
    </x:xf>
    <x:xf numFmtId="172" fontId="11" fillId="4" borderId="1" xfId="0" applyFont="1" applyBorder="1" applyAlignment="0">
      <x:alignment horizontal="general" vertical="bottom" wrapText="0"/>
    </x:xf>
    <x:xf numFmtId="164" fontId="7" fillId="3" borderId="1" xfId="0" applyFont="1" applyBorder="1" applyAlignment="1">
      <x:alignment horizontal="general" vertical="top" wrapText="1"/>
    </x:xf>
    <x:xf numFmtId="164" fontId="13" fillId="2" borderId="1" xfId="0" applyFont="1" applyBorder="1" applyAlignment="0">
      <x:alignment horizontal="general" vertical="bottom" wrapText="0"/>
    </x:xf>
    <x:xf numFmtId="164" fontId="8" fillId="5" borderId="1" xfId="0" applyFont="1" applyBorder="1" applyAlignment="1">
      <x:alignment horizontal="general" vertical="top" wrapText="0"/>
    </x:xf>
    <x:xf numFmtId="164" fontId="5" fillId="5" borderId="1" xfId="0" applyFont="1" applyBorder="1" applyAlignment="1">
      <x:alignment horizontal="general" vertical="top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center" vertical="bottom" wrapText="0"/>
    </x:xf>
    <x:xf numFmtId="164" fontId="14" fillId="7" borderId="0" xfId="0" applyNumberFormat="1" applyFont="1" applyFill="1" applyBorder="1" applyAlignment="1">
      <x:alignment horizontal="center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2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7" fillId="10" borderId="0" xfId="0" applyNumberFormat="1" applyFont="1" applyFill="1" applyBorder="1" applyAlignment="1">
      <x:alignment horizontal="general" vertical="bottom" wrapText="0"/>
    </x:xf>
    <x:xf numFmtId="164" fontId="17" fillId="10" borderId="4" xfId="0" applyNumberFormat="1" applyFont="1" applyFill="1" applyBorder="1" applyAlignment="1">
      <x:alignment horizontal="general" vertical="bottom" wrapText="0"/>
    </x:xf>
    <x:xf numFmtId="164" fontId="17" fillId="10" borderId="5" xfId="0" applyNumberFormat="1" applyFont="1" applyFill="1" applyBorder="1" applyAlignment="1">
      <x:alignment horizontal="general" vertical="bottom" wrapText="0"/>
    </x:xf>
    <x:xf numFmtId="164" fontId="17" fillId="10" borderId="6" xfId="0" applyNumberFormat="1" applyFont="1" applyFill="1" applyBorder="1" applyAlignment="1">
      <x:alignment horizontal="general" vertical="bottom" wrapText="0"/>
    </x:xf>
    <x:xf numFmtId="164" fontId="17" fillId="10" borderId="4" xfId="0" applyNumberFormat="1" applyFont="1" applyFill="1" applyBorder="1" applyAlignment="1">
      <x:alignment horizontal="general" vertical="bottom" wrapText="1"/>
    </x:xf>
    <x:xf numFmtId="164" fontId="17" fillId="10" borderId="5" xfId="0" applyNumberFormat="1" applyFont="1" applyFill="1" applyBorder="1" applyAlignment="1">
      <x:alignment horizontal="general" vertical="bottom" wrapText="1"/>
    </x:xf>
    <x:xf numFmtId="164" fontId="17" fillId="10" borderId="6" xfId="0" applyNumberFormat="1" applyFont="1" applyFill="1" applyBorder="1" applyAlignment="1">
      <x:alignment horizontal="general" vertical="bottom" wrapText="1"/>
    </x:xf>
    <x:xf numFmtId="164" fontId="7" fillId="3" borderId="1" xfId="0" applyNumberFormat="1" applyFont="1" applyFill="1" applyBorder="1" applyAlignment="1">
      <x:alignment horizontal="general" vertical="bottom" wrapText="1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16" fillId="2" borderId="0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1"/>
    </x:xf>
    <x:xf numFmtId="164" fontId="16" fillId="9" borderId="0" xfId="0" applyNumberFormat="1" applyFont="1" applyFill="1" applyBorder="1" applyAlignment="1">
      <x:alignment horizontal="general" vertical="bottom" wrapText="1"/>
    </x:xf>
    <x:xf numFmtId="164" fontId="16" fillId="9" borderId="7" xfId="0" applyNumberFormat="1" applyFont="1" applyFill="1" applyBorder="1" applyAlignment="1">
      <x:alignment horizontal="general" vertical="bottom" wrapText="1"/>
    </x:xf>
    <x:xf numFmtId="164" fontId="16" fillId="9" borderId="8" xfId="0" applyNumberFormat="1" applyFont="1" applyFill="1" applyBorder="1" applyAlignment="1">
      <x:alignment horizontal="general" vertical="bottom" wrapText="1"/>
    </x:xf>
    <x:xf numFmtId="164" fontId="16" fillId="9" borderId="9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8EAF6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DEDED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83bc723f9416d" /><Relationship Type="http://schemas.openxmlformats.org/officeDocument/2006/relationships/theme" Target="/xl/theme/theme1.xml" Id="R8c0cee61d36f44a9" /><Relationship Type="http://schemas.openxmlformats.org/officeDocument/2006/relationships/sharedStrings" Target="/xl/sharedStrings.xml" Id="R43bab6d0fd4140c6" /><Relationship Type="http://schemas.openxmlformats.org/officeDocument/2006/relationships/worksheet" Target="/xl/worksheets/sheet1.xml" Id="Rae9638712bf645c4" /><Relationship Type="http://schemas.openxmlformats.org/officeDocument/2006/relationships/worksheet" Target="/xl/worksheets/sheet2.xml" Id="R172aa94c658b49a1" /><Relationship Type="http://schemas.openxmlformats.org/officeDocument/2006/relationships/worksheet" Target="/xl/worksheets/sheet3.xml" Id="R7c46a3b8047f4463" /><Relationship Type="http://schemas.openxmlformats.org/officeDocument/2006/relationships/worksheet" Target="/xl/worksheets/sheet4.xml" Id="Ra48b00fae4ca4090" /><Relationship Type="http://schemas.openxmlformats.org/officeDocument/2006/relationships/worksheet" Target="/xl/worksheets/sheet5.xml" Id="R843a21e097534e00" /><Relationship Type="http://schemas.openxmlformats.org/officeDocument/2006/relationships/worksheet" Target="/xl/worksheets/sheet6.xml" Id="Rd36fc1131c174a43" /><Relationship Type="http://schemas.openxmlformats.org/officeDocument/2006/relationships/worksheet" Target="/xl/worksheets/sheet7.xml" Id="R3f566fa338444d0e" /><Relationship Type="http://schemas.openxmlformats.org/officeDocument/2006/relationships/worksheet" Target="/xl/worksheets/sheet8.xml" Id="Rb61909c4ddfe4aa9" /><Relationship Type="http://schemas.openxmlformats.org/officeDocument/2006/relationships/worksheet" Target="/xl/worksheets/sheet9.xml" Id="R51ff6613d7724fb3" /><Relationship Type="http://schemas.microsoft.com/office/2017/10/relationships/person" Target="/xl/persons/person.xml" Id="Ra54db0b2fbc24b29" /></Relationships>
</file>

<file path=xl/persons/person.xml><?xml version="1.0" encoding="utf-8"?>
<xltc:personList xmlns:xltc="http://schemas.microsoft.com/office/spreadsheetml/2018/threadedcomments">
  <xltc:person displayName="Unknown Author" id="{B58733AE-F455-C3F6-5975-1E8984D65115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04ff71c57f4455b" /><Relationship Type="http://schemas.openxmlformats.org/officeDocument/2006/relationships/vmlDrawing" Target="/xl/drawings/vmldrawing.vml" Id="Rb7d052771c03495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2" hidden="0" customWidth="1"/>
    <x:col min="2" max="2" width="62" hidden="0" customWidth="1"/>
    <x:col min="3" max="8" width="15" hidden="0" customWidth="1"/>
  </x:cols>
  <x:sheetData>
    <x:row r="1" ht="24" hidden="0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</x:v>
      </x:c>
    </x:row>
    <x:row r="4" ht="15" hidden="0">
      <x:c r="A4" s="4" t="s">
        <x:v>2</x:v>
      </x:c>
    </x:row>
    <x:row r="5" ht="15" hidden="0">
      <x:c r="A5" s="5" t="s">
        <x:v>3</x:v>
      </x:c>
      <x:c r="B5" s="6" t="s">
        <x:v>4</x:v>
      </x:c>
    </x:row>
    <x:row r="6" ht="15" hidden="0">
      <x:c r="A6" s="7" t="s">
        <x:v>5</x:v>
      </x:c>
      <x:c r="B6" s="6" t="s">
        <x:v>6</x:v>
      </x:c>
    </x:row>
    <x:row r="7" ht="15" hidden="0">
      <x:c r="A7" s="8" t="s">
        <x:v>7</x:v>
      </x:c>
      <x:c r="B7" s="6" t="s">
        <x:v>8</x:v>
      </x:c>
    </x:row>
    <x:row r="8" ht="15" hidden="0">
      <x:c r="A8" s="9" t="s">
        <x:v>9</x:v>
      </x:c>
      <x:c r="B8" s="6" t="s">
        <x:v>10</x:v>
      </x:c>
    </x:row>
    <x:row r="10" ht="15" hidden="0">
      <x:c r="A10" s="4" t="s">
        <x:v>11</x:v>
      </x:c>
    </x:row>
    <x:row r="11" ht="15" hidden="0">
      <x:c r="A11" s="10" t="s">
        <x:v>12</x:v>
      </x:c>
      <x:c r="B11" s="6" t="s">
        <x:v>13</x:v>
      </x:c>
    </x:row>
    <x:row r="12" ht="15" hidden="0">
      <x:c r="A12" s="10" t="s">
        <x:v>14</x:v>
      </x:c>
      <x:c r="B12" s="6" t="s">
        <x:v>15</x:v>
      </x:c>
    </x:row>
    <x:row r="13" ht="15" hidden="0">
      <x:c r="A13" s="10" t="s">
        <x:v>16</x:v>
      </x:c>
      <x:c r="B13" s="6" t="s">
        <x:v>17</x:v>
      </x:c>
    </x:row>
    <x:row r="14" ht="15" hidden="0">
      <x:c r="A14" s="10" t="s">
        <x:v>18</x:v>
      </x:c>
      <x:c r="B14" s="6" t="s">
        <x:v>19</x:v>
      </x:c>
    </x:row>
    <x:row r="15" ht="15" hidden="0">
      <x:c r="A15" s="10" t="s">
        <x:v>20</x:v>
      </x:c>
      <x:c r="B15" s="6" t="s">
        <x:v>21</x:v>
      </x:c>
    </x:row>
    <x:row r="16" ht="15" hidden="0">
      <x:c r="A16" s="10" t="s">
        <x:v>22</x:v>
      </x:c>
      <x:c r="B16" s="6" t="s">
        <x:v>23</x:v>
      </x:c>
    </x:row>
    <x:row r="18" ht="15" hidden="0">
      <x:c r="A18" s="4" t="s">
        <x:v>24</x:v>
      </x:c>
    </x:row>
    <x:row r="19" ht="15" hidden="0">
      <x:c r="A19" s="6" t="s">
        <x:v>25</x:v>
      </x:c>
    </x:row>
    <x:row r="20" ht="15" hidden="0">
      <x:c r="A20" s="6" t="s">
        <x:v>26</x:v>
      </x:c>
    </x:row>
    <x:row r="21" ht="15" hidden="0">
      <x:c r="A21" s="6" t="s">
        <x:v>27</x:v>
      </x:c>
    </x:row>
    <x:row r="23" ht="15" hidden="0">
      <x:c r="A23" s="3" t="s">
        <x:v>28</x:v>
      </x:c>
    </x:row>
    <x:row r="24" ht="15" hidden="0">
      <x:c r="A24" s="3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2" hidden="0" customWidth="1"/>
    <x:col min="5" max="8" width="15" hidden="0" customWidth="1"/>
  </x:cols>
  <x:sheetData>
    <x:row r="1" ht="24" hidden="0" customHeight="1">
      <x:c r="A1" s="65" t="s">
        <x:v>30</x:v>
      </x:c>
      <x:c r="B1" s="66"/>
      <x:c r="C1" s="66"/>
      <x:c r="D1" s="66"/>
      <x:c r="E1" s="66"/>
      <x:c r="F1" s="66"/>
      <x:c r="G1" s="66"/>
      <x:c r="H1" s="66"/>
    </x:row>
    <x:row r="2" ht="15" hidden="0">
      <x:c r="A2" s="3" t="s">
        <x:v>31</x:v>
      </x:c>
    </x:row>
    <x:row r="4" ht="15" hidden="0">
      <x:c r="A4" s="11" t="s">
        <x:v>32</x:v>
      </x:c>
      <x:c r="B4" s="12"/>
      <x:c r="C4" s="12"/>
      <x:c r="D4" s="12"/>
      <x:c r="E4" s="12"/>
      <x:c r="F4" s="12"/>
      <x:c r="G4" s="12"/>
      <x:c r="H4" s="12"/>
    </x:row>
    <x:row r="5" ht="58" hidden="0" customHeight="1">
      <x:c r="A5" s="6" t="s">
        <x:v>33</x:v>
      </x:c>
      <x:c r="B5" s="64" t="str">
        <x:v>1 tháng thuê bao: quota 15 hành động AI hoàn tất cho 1 sinh viên.</x:v>
      </x:c>
      <x:c r="D5" s="3" t="s">
        <x:v>34</x:v>
      </x:c>
    </x:row>
    <x:row r="6" ht="15" hidden="0">
      <x:c r="A6" s="6" t="s">
        <x:v>35</x:v>
      </x:c>
      <x:c r="B6" s="13" t="str">
        <x:v>A</x:v>
      </x:c>
      <x:c r="D6" s="3" t="s">
        <x:v>36</x:v>
      </x:c>
    </x:row>
    <x:row r="8" ht="15" hidden="0">
      <x:c r="A8" s="11" t="s">
        <x:v>37</x:v>
      </x:c>
      <x:c r="B8" s="12"/>
      <x:c r="C8" s="12"/>
      <x:c r="D8" s="12"/>
      <x:c r="E8" s="12"/>
      <x:c r="F8" s="12"/>
      <x:c r="G8" s="12"/>
      <x:c r="H8" s="12"/>
    </x:row>
    <x:row r="9" ht="15" hidden="0">
      <x:c r="A9" s="6" t="s">
        <x:v>38</x:v>
      </x:c>
      <x:c r="B9" s="14" t="n">
        <x:v>1000</x:v>
      </x:c>
      <x:c r="C9" s="3" t="s">
        <x:v>39</x:v>
      </x:c>
    </x:row>
    <x:row r="10" ht="15" hidden="0">
      <x:c r="A10" s="6" t="s">
        <x:v>40</x:v>
      </x:c>
      <x:c r="B10" s="15" t="n">
        <x:v>0.85</x:v>
      </x:c>
      <x:c r="D10" s="3" t="s">
        <x:v>41</x:v>
      </x:c>
    </x:row>
    <x:row r="11" ht="15" hidden="0">
      <x:c r="A11" s="6" t="s">
        <x:v>42</x:v>
      </x:c>
      <x:c r="B11" s="16" t="n">
        <x:f aca="0">B9*B10</x:f>
        <x:v>850</x:v>
      </x:c>
      <x:c r="C11" s="3" t="s">
        <x:v>39</x:v>
      </x:c>
      <x:c r="D11" s="3" t="s">
        <x:v>43</x:v>
      </x:c>
    </x:row>
    <x:row r="12" ht="15" hidden="0">
      <x:c r="A12" s="6" t="s">
        <x:v>44</x:v>
      </x:c>
      <x:c r="B12" s="16" t="n">
        <x:f aca="0">B9-B11</x:f>
        <x:v>150</x:v>
      </x:c>
      <x:c r="C12" s="3" t="s">
        <x:v>39</x:v>
      </x:c>
      <x:c r="D12" s="3" t="s">
        <x:v>45</x:v>
      </x:c>
    </x:row>
    <x:row r="14" ht="15" hidden="0">
      <x:c r="A14" s="11" t="s">
        <x:v>46</x:v>
      </x:c>
      <x:c r="B14" s="12"/>
      <x:c r="C14" s="12"/>
      <x:c r="D14" s="12"/>
      <x:c r="E14" s="12"/>
      <x:c r="F14" s="12"/>
      <x:c r="G14" s="12"/>
      <x:c r="H14" s="12"/>
    </x:row>
    <x:row r="15" ht="15" hidden="0">
      <x:c r="A15" s="6" t="s">
        <x:v>47</x:v>
      </x:c>
      <x:c r="B15" s="17" t="n">
        <x:v>1</x:v>
      </x:c>
      <x:c r="D15" s="3" t="s">
        <x:v>48</x:v>
      </x:c>
    </x:row>
    <x:row r="16" ht="15" hidden="0">
      <x:c r="A16" s="6" t="s">
        <x:v>49</x:v>
      </x:c>
      <x:c r="B16" s="17" t="n">
        <x:v>5</x:v>
      </x:c>
    </x:row>
    <x:row r="17" ht="15" hidden="0">
      <x:c r="A17" s="6" t="s">
        <x:v>50</x:v>
      </x:c>
      <x:c r="B17" s="17" t="n">
        <x:v>1.25</x:v>
      </x:c>
      <x:c r="D17" s="3" t="s">
        <x:v>51</x:v>
      </x:c>
    </x:row>
    <x:row r="18" ht="15" hidden="0">
      <x:c r="A18" s="6" t="s">
        <x:v>52</x:v>
      </x:c>
      <x:c r="B18" s="17" t="n">
        <x:v>0.1</x:v>
      </x:c>
      <x:c r="D18" s="3" t="s">
        <x:v>53</x:v>
      </x:c>
    </x:row>
    <x:row r="19" ht="15" hidden="0">
      <x:c r="A19" s="6" t="s">
        <x:v>54</x:v>
      </x:c>
      <x:c r="B19" s="14" t="n">
        <x:v>15</x:v>
      </x:c>
      <x:c r="C19" s="3" t="s">
        <x:v>55</x:v>
      </x:c>
    </x:row>
    <x:row r="20" ht="15" hidden="0">
      <x:c r="A20" s="6" t="s">
        <x:v>56</x:v>
      </x:c>
      <x:c r="B20" s="14" t="n">
        <x:v>3000</x:v>
      </x:c>
      <x:c r="C20" s="3" t="s">
        <x:v>57</x:v>
      </x:c>
      <x:c r="D20" s="3" t="s">
        <x:v>58</x:v>
      </x:c>
    </x:row>
    <x:row r="21" ht="15" hidden="0">
      <x:c r="A21" s="6" t="s">
        <x:v>59</x:v>
      </x:c>
      <x:c r="B21" s="14" t="n">
        <x:v>1500</x:v>
      </x:c>
      <x:c r="C21" s="3" t="s">
        <x:v>57</x:v>
      </x:c>
      <x:c r="D21" s="3" t="s">
        <x:v>60</x:v>
      </x:c>
    </x:row>
    <x:row r="22" ht="15" hidden="0">
      <x:c r="A22" s="6" t="s">
        <x:v>61</x:v>
      </x:c>
      <x:c r="B22" s="14" t="n">
        <x:v>5000</x:v>
      </x:c>
      <x:c r="C22" s="3" t="s">
        <x:v>57</x:v>
      </x:c>
    </x:row>
    <x:row r="23" ht="15" hidden="0">
      <x:c r="A23" s="6" t="s">
        <x:v>62</x:v>
      </x:c>
      <x:c r="B23" s="18" t="n">
        <x:f aca="0">B20*B17/1000000</x:f>
        <x:v>0.00375</x:v>
      </x:c>
    </x:row>
    <x:row r="24" ht="15" hidden="0">
      <x:c r="A24" s="6" t="s">
        <x:v>63</x:v>
      </x:c>
      <x:c r="B24" s="18" t="n">
        <x:f aca="0">(B19-1)*B20*B18/1000000</x:f>
        <x:v>0.0042</x:v>
      </x:c>
    </x:row>
    <x:row r="25" ht="15" hidden="0">
      <x:c r="A25" s="6" t="s">
        <x:v>64</x:v>
      </x:c>
      <x:c r="B25" s="18" t="n">
        <x:f aca="0">B19*B21*B15/1000000</x:f>
        <x:v>0.0225</x:v>
      </x:c>
    </x:row>
    <x:row r="26" ht="15" hidden="0">
      <x:c r="A26" s="6" t="s">
        <x:v>65</x:v>
      </x:c>
      <x:c r="B26" s="18" t="n">
        <x:f aca="0">B19*B22*B16/1000000</x:f>
        <x:v>0.375</x:v>
      </x:c>
    </x:row>
    <x:row r="27" ht="15" hidden="0">
      <x:c r="A27" s="10" t="s">
        <x:v>66</x:v>
      </x:c>
      <x:c r="B27" s="19" t="n">
        <x:f aca="0">SUM(B23:B26)</x:f>
        <x:v>0.40545</x:v>
      </x:c>
    </x:row>
    <x:row r="28" ht="15" hidden="0">
      <x:c r="A28" s="6" t="s">
        <x:v>67</x:v>
      </x:c>
      <x:c r="B28" s="18" t="n">
        <x:f aca="0">B19*(B20+B21)*B15/1000000+B26</x:f>
        <x:v>0.4425</x:v>
      </x:c>
    </x:row>
    <x:row r="29" ht="15" hidden="0">
      <x:c r="A29" s="6" t="s">
        <x:v>68</x:v>
      </x:c>
      <x:c r="B29" s="20" t="n">
        <x:f aca="0">IF(B28=0,0,1-B27/B28)</x:f>
        <x:v>0.08372881355932205</x:v>
      </x:c>
      <x:c r="D29" s="3" t="s">
        <x:v>69</x:v>
      </x:c>
    </x:row>
    <x:row r="30" ht="15" hidden="0">
      <x:c r="A30" s="6" t="s">
        <x:v>70</x:v>
      </x:c>
      <x:c r="B30" s="14" t="n">
        <x:v>0</x:v>
      </x:c>
      <x:c r="D30" s="3" t="s">
        <x:v>71</x:v>
      </x:c>
    </x:row>
    <x:row r="31" ht="15" hidden="0">
      <x:c r="A31" s="10" t="s">
        <x:v>72</x:v>
      </x:c>
      <x:c r="B31" s="19" t="n">
        <x:f aca="0">B27*(1-B30*0.5)</x:f>
        <x:v>0.40545</x:v>
      </x:c>
    </x:row>
    <x:row r="33" ht="15" hidden="0">
      <x:c r="A33" s="11" t="s">
        <x:v>73</x:v>
      </x:c>
      <x:c r="B33" s="12"/>
      <x:c r="C33" s="12"/>
      <x:c r="D33" s="12"/>
      <x:c r="E33" s="12"/>
      <x:c r="F33" s="12"/>
      <x:c r="G33" s="12"/>
      <x:c r="H33" s="12"/>
    </x:row>
    <x:row r="34" ht="15" hidden="0">
      <x:c r="A34" s="6" t="s">
        <x:v>74</x:v>
      </x:c>
      <x:c r="B34" s="21" t="n">
        <x:v>0</x:v>
      </x:c>
      <x:c r="D34" s="3" t="s">
        <x:v>75</x:v>
      </x:c>
    </x:row>
    <x:row r="35" ht="15" hidden="0">
      <x:c r="A35" s="6" t="s">
        <x:v>76</x:v>
      </x:c>
      <x:c r="B35" s="22" t="n">
        <x:v>0</x:v>
      </x:c>
      <x:c r="C35" s="3" t="s">
        <x:v>77</x:v>
      </x:c>
    </x:row>
    <x:row r="36" ht="15" hidden="0">
      <x:c r="A36" s="6" t="s">
        <x:v>78</x:v>
      </x:c>
      <x:c r="B36" s="17" t="n">
        <x:v>0</x:v>
      </x:c>
      <x:c r="D36" s="3" t="s">
        <x:v>79</x:v>
      </x:c>
    </x:row>
    <x:row r="37" ht="15" hidden="0">
      <x:c r="A37" s="6" t="s">
        <x:v>80</x:v>
      </x:c>
      <x:c r="B37" s="14" t="n">
        <x:v>0</x:v>
      </x:c>
      <x:c r="C37" s="3" t="s">
        <x:v>81</x:v>
      </x:c>
      <x:c r="D37" s="3" t="s">
        <x:v>82</x:v>
      </x:c>
    </x:row>
    <x:row r="38" ht="15" hidden="0">
      <x:c r="A38" s="6" t="s">
        <x:v>83</x:v>
      </x:c>
      <x:c r="B38" s="18" t="n">
        <x:f aca="0">B34*B35+B36*B37/1000000</x:f>
        <x:v>0</x:v>
      </x:c>
    </x:row>
    <x:row r="40" ht="15" hidden="0">
      <x:c r="A40" s="11" t="s">
        <x:v>84</x:v>
      </x:c>
      <x:c r="B40" s="12"/>
      <x:c r="C40" s="12"/>
      <x:c r="D40" s="12"/>
      <x:c r="E40" s="12"/>
      <x:c r="F40" s="12"/>
      <x:c r="G40" s="12"/>
      <x:c r="H40" s="12"/>
    </x:row>
    <x:row r="41" ht="15" hidden="0">
      <x:c r="A41" s="6" t="s">
        <x:v>85</x:v>
      </x:c>
      <x:c r="B41" s="21" t="n">
        <x:v>0.25</x:v>
      </x:c>
      <x:c r="D41" s="3" t="s">
        <x:v>86</x:v>
      </x:c>
    </x:row>
    <x:row r="42" ht="15" hidden="0">
      <x:c r="A42" s="6" t="s">
        <x:v>87</x:v>
      </x:c>
      <x:c r="B42" s="21" t="n">
        <x:v>0</x:v>
      </x:c>
    </x:row>
    <x:row r="43" ht="15" hidden="0">
      <x:c r="A43" s="6" t="s">
        <x:v>88</x:v>
      </x:c>
      <x:c r="B43" s="18" t="n">
        <x:f aca="0">B41+B42*B35</x:f>
        <x:v>0.25</x:v>
      </x:c>
    </x:row>
    <x:row r="45" ht="15" hidden="0">
      <x:c r="A45" s="11" t="s">
        <x:v>89</x:v>
      </x:c>
      <x:c r="B45" s="12"/>
      <x:c r="C45" s="12"/>
      <x:c r="D45" s="12"/>
      <x:c r="E45" s="12"/>
      <x:c r="F45" s="12"/>
      <x:c r="G45" s="12"/>
      <x:c r="H45" s="12"/>
    </x:row>
    <x:row r="46" ht="15" hidden="0">
      <x:c r="A46" s="6" t="s">
        <x:v>90</x:v>
      </x:c>
      <x:c r="B46" s="15" t="n">
        <x:v>0.08</x:v>
      </x:c>
      <x:c r="D46" s="3" t="s">
        <x:v>91</x:v>
      </x:c>
    </x:row>
    <x:row r="47" ht="15" hidden="0">
      <x:c r="A47" s="6" t="s">
        <x:v>92</x:v>
      </x:c>
      <x:c r="B47" s="18" t="n">
        <x:f aca="0">(B31+B38)*B46</x:f>
        <x:v>0.032436</x:v>
      </x:c>
    </x:row>
    <x:row r="49" ht="15" hidden="0">
      <x:c r="A49" s="11" t="s">
        <x:v>93</x:v>
      </x:c>
      <x:c r="B49" s="12"/>
      <x:c r="C49" s="12"/>
      <x:c r="D49" s="12"/>
      <x:c r="E49" s="12"/>
      <x:c r="F49" s="12"/>
      <x:c r="G49" s="12"/>
      <x:c r="H49" s="12"/>
    </x:row>
    <x:row r="50" ht="15" hidden="0">
      <x:c r="A50" s="6" t="s">
        <x:v>94</x:v>
      </x:c>
      <x:c r="B50" s="17" t="n">
        <x:v>9</x:v>
      </x:c>
      <x:c r="D50" s="3" t="s">
        <x:v>95</x:v>
      </x:c>
    </x:row>
    <x:row r="51" ht="15" hidden="0">
      <x:c r="A51" s="6" t="s">
        <x:v>96</x:v>
      </x:c>
      <x:c r="B51" s="15" t="n">
        <x:v>0.4</x:v>
      </x:c>
      <x:c r="D51" s="3" t="s">
        <x:v>97</x:v>
      </x:c>
    </x:row>
    <x:row r="52" ht="15" hidden="0">
      <x:c r="A52" s="6" t="s">
        <x:v>98</x:v>
      </x:c>
      <x:c r="B52" s="22" t="n">
        <x:v>5</x:v>
      </x:c>
      <x:c r="C52" s="3" t="s">
        <x:v>77</x:v>
      </x:c>
    </x:row>
    <x:row r="53" ht="15" hidden="0">
      <x:c r="A53" s="6" t="s">
        <x:v>99</x:v>
      </x:c>
      <x:c r="B53" s="22" t="n">
        <x:v>0</x:v>
      </x:c>
      <x:c r="C53" s="3" t="s">
        <x:v>77</x:v>
      </x:c>
    </x:row>
    <x:row r="54" ht="15" hidden="0">
      <x:c r="A54" s="6" t="s">
        <x:v>100</x:v>
      </x:c>
      <x:c r="B54" s="23" t="n">
        <x:f aca="0">B9*B51*(B52/60)*B50</x:f>
        <x:v>299.99999999999994</x:v>
      </x:c>
    </x:row>
    <x:row r="55" ht="15" hidden="0">
      <x:c r="A55" s="6" t="s">
        <x:v>101</x:v>
      </x:c>
      <x:c r="B55" s="23" t="n">
        <x:f aca="0">IF(B6="B",B12*(B53/60)*B50,0)</x:f>
        <x:v>0</x:v>
      </x:c>
      <x:c r="D55" s="3" t="s">
        <x:v>102</x:v>
      </x:c>
    </x:row>
    <x:row r="56" ht="15" hidden="0">
      <x:c r="A56" s="10" t="s">
        <x:v>103</x:v>
      </x:c>
      <x:c r="B56" s="24" t="n">
        <x:f aca="0">B54+B55</x:f>
        <x:v>299.99999999999994</x:v>
      </x:c>
    </x:row>
    <x:row r="58" ht="15" hidden="0">
      <x:c r="A58" s="11" t="s">
        <x:v>104</x:v>
      </x:c>
      <x:c r="B58" s="12"/>
      <x:c r="C58" s="12"/>
      <x:c r="D58" s="12"/>
      <x:c r="E58" s="12"/>
      <x:c r="F58" s="12"/>
      <x:c r="G58" s="12"/>
      <x:c r="H58" s="12"/>
    </x:row>
    <x:row r="59" ht="15" hidden="0">
      <x:c r="A59" s="6" t="s">
        <x:v>105</x:v>
      </x:c>
      <x:c r="B59" s="17" t="n">
        <x:v>0</x:v>
      </x:c>
      <x:c r="D59" s="3" t="s">
        <x:v>106</x:v>
      </x:c>
    </x:row>
    <x:row r="61" ht="15" hidden="0">
      <x:c r="A61" s="11" t="s">
        <x:v>107</x:v>
      </x:c>
      <x:c r="B61" s="12"/>
      <x:c r="C61" s="12"/>
      <x:c r="D61" s="12"/>
      <x:c r="E61" s="12"/>
      <x:c r="F61" s="12"/>
      <x:c r="G61" s="12"/>
      <x:c r="H61" s="12"/>
    </x:row>
    <x:row r="62" ht="15" hidden="0">
      <x:c r="A62" s="6" t="s">
        <x:v>108</x:v>
      </x:c>
      <x:c r="B62" s="23" t="n">
        <x:f aca="0">B9*(B31+B38+B43+B47)</x:f>
        <x:v>687.886</x:v>
      </x:c>
    </x:row>
    <x:row r="63" ht="15" hidden="0">
      <x:c r="A63" s="6" t="s">
        <x:v>109</x:v>
      </x:c>
      <x:c r="B63" s="23" t="n">
        <x:f aca="0">B56</x:f>
        <x:v>299.99999999999994</x:v>
      </x:c>
    </x:row>
    <x:row r="64" ht="15" hidden="0">
      <x:c r="A64" s="6" t="s">
        <x:v>110</x:v>
      </x:c>
      <x:c r="B64" s="23" t="n">
        <x:f aca="0">B59</x:f>
        <x:v>0</x:v>
      </x:c>
    </x:row>
    <x:row r="65" ht="15" hidden="0">
      <x:c r="A65" s="6" t="s">
        <x:v>111</x:v>
      </x:c>
      <x:c r="B65" s="23" t="n">
        <x:f aca="0">B62+B63+B64</x:f>
        <x:v>987.886</x:v>
      </x:c>
    </x:row>
    <x:row r="66" ht="15" hidden="0">
      <x:c r="A66" s="10" t="s">
        <x:v>112</x:v>
      </x:c>
      <x:c r="B66" s="19" t="n">
        <x:f aca="0">IF(B11=0,0,(B62+B63)/B11)</x:f>
        <x:v>1.1622188235294117</x:v>
      </x:c>
      <x:c r="C66" s="3" t="s">
        <x:v>113</x:v>
      </x:c>
      <x:c r="D66" s="3" t="s">
        <x:v>114</x:v>
      </x:c>
    </x:row>
    <x:row r="67" ht="15" hidden="0">
      <x:c r="A67" s="10" t="s">
        <x:v>115</x:v>
      </x:c>
      <x:c r="B67" s="19" t="n">
        <x:f aca="0">IF(B11=0,0,B65/B11)</x:f>
        <x:v>1.1622188235294117</x:v>
      </x:c>
      <x:c r="C67" s="3" t="s">
        <x:v>113</x:v>
      </x:c>
    </x:row>
    <x:row r="68" ht="15" hidden="0">
      <x:c r="A68" s="6" t="s">
        <x:v>116</x:v>
      </x:c>
      <x:c r="B68" s="14" t="n">
        <x:v>26000</x:v>
      </x:c>
      <x:c r="C68" s="3" t="s">
        <x:v>117</x:v>
      </x:c>
      <x:c r="D68" s="3" t="s">
        <x:v>118</x:v>
      </x:c>
    </x:row>
    <x:row r="69" ht="15" hidden="0">
      <x:c r="A69" s="6" t="s">
        <x:v>119</x:v>
      </x:c>
      <x:c r="B69" s="25" t="n">
        <x:f aca="0">B66*B68</x:f>
        <x:v>30217.689411764706</x:v>
      </x:c>
      <x:c r="C69" s="3" t="s">
        <x:v>120</x:v>
      </x:c>
    </x:row>
    <x:row r="71" ht="15" hidden="0">
      <x:c r="A71" s="11" t="s">
        <x:v>121</x:v>
      </x:c>
      <x:c r="B71" s="12"/>
      <x:c r="C71" s="12"/>
      <x:c r="D71" s="12"/>
      <x:c r="E71" s="12"/>
      <x:c r="F71" s="12"/>
      <x:c r="G71" s="12"/>
      <x:c r="H71" s="12"/>
    </x:row>
    <x:row r="72" ht="15" hidden="0">
      <x:c r="A72" s="6" t="s">
        <x:v>122</x:v>
      </x:c>
      <x:c r="B72" s="23" t="n">
        <x:f aca="0">B9*B31</x:f>
        <x:v>405.45</x:v>
      </x:c>
      <x:c r="C72" s="20" t="n">
        <x:f aca="0">IF($B$65=0,0,B72/$B$65)</x:f>
        <x:v>0.41042185029446715</x:v>
      </x:c>
    </x:row>
    <x:row r="73" ht="15" hidden="0">
      <x:c r="A73" s="6" t="s">
        <x:v>123</x:v>
      </x:c>
      <x:c r="B73" s="23" t="n">
        <x:f aca="0">B9*B38</x:f>
        <x:v>0</x:v>
      </x:c>
      <x:c r="C73" s="20" t="n">
        <x:f aca="0">IF($B$65=0,0,B73/$B$65)</x:f>
        <x:v>0</x:v>
      </x:c>
    </x:row>
    <x:row r="74" ht="15" hidden="0">
      <x:c r="A74" s="6" t="s">
        <x:v>124</x:v>
      </x:c>
      <x:c r="B74" s="23" t="n">
        <x:f aca="0">B9*B43</x:f>
        <x:v>250</x:v>
      </x:c>
      <x:c r="C74" s="20" t="n">
        <x:f aca="0">IF($B$65=0,0,B74/$B$65)</x:f>
        <x:v>0.25306563712817065</x:v>
      </x:c>
    </x:row>
    <x:row r="75" ht="15" hidden="0">
      <x:c r="A75" s="6" t="s">
        <x:v>125</x:v>
      </x:c>
      <x:c r="B75" s="23" t="n">
        <x:f aca="0">B9*B47</x:f>
        <x:v>32.436</x:v>
      </x:c>
      <x:c r="C75" s="20" t="n">
        <x:f aca="0">IF($B$65=0,0,B75/$B$65)</x:f>
        <x:v>0.032833748023557374</x:v>
      </x:c>
    </x:row>
    <x:row r="76" ht="15" hidden="0">
      <x:c r="A76" s="6" t="s">
        <x:v>126</x:v>
      </x:c>
      <x:c r="B76" s="23" t="n">
        <x:f aca="0">B56</x:f>
        <x:v>299.99999999999994</x:v>
      </x:c>
      <x:c r="C76" s="20" t="n">
        <x:f aca="0">IF($B$65=0,0,B76/$B$65)</x:f>
        <x:v>0.30367876455380477</x:v>
      </x:c>
    </x:row>
    <x:row r="77" ht="15" hidden="0">
      <x:c r="A77" s="6" t="s">
        <x:v>127</x:v>
      </x:c>
      <x:c r="B77" s="23" t="n">
        <x:f aca="0">B59</x:f>
        <x:v>0</x:v>
      </x:c>
      <x:c r="C77" s="20" t="n">
        <x:f aca="0">IF($B$65=0,0,B77/$B$65)</x:f>
        <x:v>0</x:v>
      </x:c>
    </x:row>
    <x:row r="78" ht="15" hidden="0">
      <x:c r="A78" s="3" t="s">
        <x:v>128</x:v>
      </x:c>
    </x:row>
  </x:sheetData>
  <x:dataValidations count="1">
    <x:dataValidation type="list" errorStyle="stop" operator="between" allowBlank="0" showDropDown="0" showInputMessage="0" showErrorMessage="0" sqref="B6">
      <x:formula1>"A,B"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7d052771c034954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65" t="s">
        <x:v>129</x:v>
      </x:c>
      <x:c r="B1" s="66"/>
      <x:c r="C1" s="66"/>
      <x:c r="D1" s="66"/>
      <x:c r="E1" s="66"/>
      <x:c r="F1" s="66"/>
      <x:c r="G1" s="66"/>
      <x:c r="H1" s="66"/>
    </x:row>
    <x:row r="2" ht="15" hidden="0">
      <x:c r="A2" s="3" t="s">
        <x:v>130</x:v>
      </x:c>
    </x:row>
    <x:row r="4" ht="15" hidden="0">
      <x:c r="A4" s="11" t="s">
        <x:v>131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132</x:v>
      </x:c>
      <x:c r="B5" s="26" t="n">
        <x:f aca="0">'1_Cost_Job'!B66</x:f>
        <x:v>1.1622188235294117</x:v>
      </x:c>
      <x:c r="C5" s="3" t="s">
        <x:v>113</x:v>
      </x:c>
    </x:row>
    <x:row r="6" ht="15" hidden="0">
      <x:c r="A6" s="6" t="s">
        <x:v>133</x:v>
      </x:c>
      <x:c r="B6" s="22" t="n">
        <x:v>3</x:v>
      </x:c>
      <x:c r="C6" s="3" t="s">
        <x:v>134</x:v>
      </x:c>
      <x:c r="D6" s="3" t="s">
        <x:v>135</x:v>
      </x:c>
    </x:row>
    <x:row r="7" ht="15" hidden="0">
      <x:c r="A7" s="10" t="s">
        <x:v>136</x:v>
      </x:c>
      <x:c r="B7" s="19" t="n">
        <x:f aca="0">B5*B6</x:f>
        <x:v>3.486656470588235</x:v>
      </x:c>
      <x:c r="C7" s="3" t="s">
        <x:v>113</x:v>
      </x:c>
    </x:row>
    <x:row r="9" ht="15" hidden="0">
      <x:c r="A9" s="11" t="s">
        <x:v>137</x:v>
      </x:c>
      <x:c r="B9" s="12"/>
      <x:c r="C9" s="12"/>
      <x:c r="D9" s="12"/>
      <x:c r="E9" s="12"/>
      <x:c r="F9" s="12"/>
      <x:c r="G9" s="12"/>
      <x:c r="H9" s="12"/>
    </x:row>
    <x:row r="10" ht="15" hidden="0">
      <x:c r="A10" s="6" t="s">
        <x:v>138</x:v>
      </x:c>
      <x:c r="B10" s="27" t="n">
        <x:v>15.38</x:v>
      </x:c>
      <x:c r="D10" s="3" t="s">
        <x:v>139</x:v>
      </x:c>
    </x:row>
    <x:row r="11" ht="15" hidden="0">
      <x:c r="A11" s="6" t="s">
        <x:v>140</x:v>
      </x:c>
      <x:c r="B11" s="14" t="n">
        <x:v>1</x:v>
      </x:c>
      <x:c r="C11" s="3" t="s">
        <x:v>39</x:v>
      </x:c>
    </x:row>
    <x:row r="12" ht="15" hidden="0">
      <x:c r="A12" s="6" t="s">
        <x:v>141</x:v>
      </x:c>
      <x:c r="B12" s="18" t="n">
        <x:f aca="0">IF(B11=0,0,B10*0.1/B11)</x:f>
        <x:v>1.5380000000000003</x:v>
      </x:c>
      <x:c r="C12" s="3" t="s">
        <x:v>113</x:v>
      </x:c>
    </x:row>
    <x:row r="13" ht="15" hidden="0">
      <x:c r="A13" s="6" t="s">
        <x:v>142</x:v>
      </x:c>
      <x:c r="B13" s="18" t="n">
        <x:f aca="0">IF(B11=0,0,B10*0.25/B11)</x:f>
        <x:v>3.845</x:v>
      </x:c>
      <x:c r="C13" s="3" t="s">
        <x:v>113</x:v>
      </x:c>
    </x:row>
    <x:row r="14" ht="15" hidden="0">
      <x:c r="A14" s="6" t="s">
        <x:v>143</x:v>
      </x:c>
      <x:c r="B14" s="27" t="n">
        <x:v>0</x:v>
      </x:c>
      <x:c r="D14" s="3" t="s">
        <x:v>144</x:v>
      </x:c>
    </x:row>
    <x:row r="15" ht="15" hidden="0">
      <x:c r="A15" s="6" t="s">
        <x:v>145</x:v>
      </x:c>
      <x:c r="B15" s="18" t="n">
        <x:f aca="0">IF(B11=0,0,B14*0.5/B11)</x:f>
        <x:v>0</x:v>
      </x:c>
      <x:c r="C15" s="3" t="s">
        <x:v>113</x:v>
      </x:c>
    </x:row>
    <x:row r="16" ht="15" hidden="0">
      <x:c r="A16" s="6" t="s">
        <x:v>146</x:v>
      </x:c>
      <x:c r="B16" s="18" t="n">
        <x:f aca="0">IF(B11=0,0,B14*0.7/B11)</x:f>
        <x:v>0</x:v>
      </x:c>
      <x:c r="C16" s="3" t="s">
        <x:v>113</x:v>
      </x:c>
    </x:row>
    <x:row r="18" ht="15" hidden="0">
      <x:c r="A18" s="11" t="s">
        <x:v>147</x:v>
      </x:c>
      <x:c r="B18" s="12"/>
      <x:c r="C18" s="12"/>
      <x:c r="D18" s="12"/>
      <x:c r="E18" s="12"/>
      <x:c r="F18" s="12"/>
      <x:c r="G18" s="12"/>
      <x:c r="H18" s="12"/>
    </x:row>
    <x:row r="19" ht="15" hidden="0">
      <x:c r="A19" s="6" t="s">
        <x:v>148</x:v>
      </x:c>
      <x:c r="B19" s="21" t="n">
        <x:v>3.81</x:v>
      </x:c>
      <x:c r="C19" s="3" t="s">
        <x:v>113</x:v>
      </x:c>
      <x:c r="D19" s="3" t="s">
        <x:v>149</x:v>
      </x:c>
    </x:row>
    <x:row r="20" ht="15" hidden="0">
      <x:c r="A20" s="6" t="s">
        <x:v>150</x:v>
      </x:c>
      <x:c r="B20" s="28" t="n">
        <x:f aca="0">IF(B5=0,0,B19/B5)</x:f>
        <x:v>3.2782122633583226</x:v>
      </x:c>
    </x:row>
    <x:row r="21" ht="15" hidden="0">
      <x:c r="A21" s="10" t="s">
        <x:v>151</x:v>
      </x:c>
      <x:c r="B21" s="29" t="n">
        <x:f aca="0">IF(B19=0,0,(B19-B5)/B19)</x:f>
        <x:v>0.6949556893623592</x:v>
      </x:c>
    </x:row>
    <x:row r="22" ht="15" hidden="0">
      <x:c r="A22" s="6" t="s">
        <x:v>152</x:v>
      </x:c>
      <x:c r="B22" s="7" t="str">
        <x:f aca="0">IF(B20&gt;=B6,"OK — ĐẠT","KHÔNG ĐẠT — quay lại tab 1")</x:f>
        <x:v>OK — ĐẠT</x:v>
      </x:c>
    </x:row>
    <x:row r="23" ht="15" hidden="0">
      <x:c r="A23" s="6" t="s">
        <x:v>153</x:v>
      </x:c>
      <x:c r="B23" s="7" t="str">
        <x:f aca="0">IF(B21&gt;=0.6,"OK — AN TOÀN (≥60%)",IF(B21&gt;=0.5,"CẢNH BÁO (50–60%)","NGUY HIỂM (&lt;50%)"))</x:f>
        <x:v>OK — AN TOÀN (≥60%)</x:v>
      </x:c>
    </x:row>
    <x:row r="24" ht="15" hidden="0">
      <x:c r="A24" s="6" t="s">
        <x:v>154</x:v>
      </x:c>
      <x:c r="B24" s="7" t="str">
        <x:f aca="0">IF(B21&gt;0.85,"NGHI NGỜ — nhiều khả năng bạn quên một khoản chi phí","OK")</x:f>
        <x:v>OK</x:v>
      </x:c>
    </x:row>
    <x:row r="25" ht="15" hidden="0">
      <x:c r="A25" s="6" t="s">
        <x:v>155</x:v>
      </x:c>
      <x:c r="B25" s="7" t="str">
        <x:f aca="0">IF(AND(B19&gt;=B7,B19&lt;=MAX(B13,B16)),"OK — trong vùng giá bán","XEM LẠI — ngoài vùng giá sàn/trần")</x:f>
        <x:v>OK — trong vùng giá bán</x:v>
      </x:c>
    </x:row>
    <x:row r="27" ht="15" hidden="0">
      <x:c r="A27" s="11" t="s">
        <x:v>156</x:v>
      </x:c>
      <x:c r="B27" s="12"/>
      <x:c r="C27" s="12"/>
      <x:c r="D27" s="12"/>
      <x:c r="E27" s="12"/>
      <x:c r="F27" s="12"/>
      <x:c r="G27" s="12"/>
      <x:c r="H27" s="12"/>
    </x:row>
    <x:row r="28" ht="15" hidden="0">
      <x:c r="A28" s="3" t="s">
        <x:v>157</x:v>
      </x:c>
    </x:row>
    <x:row r="29" ht="15" hidden="0">
      <x:c r="A29" s="6" t="s">
        <x:v>158</x:v>
      </x:c>
      <x:c r="B29" s="26" t="n">
        <x:f aca="0">'1_Cost_Job'!B31+'1_Cost_Job'!B38+'1_Cost_Job'!B43+'1_Cost_Job'!B47</x:f>
        <x:v>0.687886</x:v>
      </x:c>
    </x:row>
    <x:row r="30" ht="15" hidden="0">
      <x:c r="A30" s="6" t="s">
        <x:v>159</x:v>
      </x:c>
      <x:c r="B30" s="26" t="n">
        <x:f aca="0">'1_Cost_Job'!B51*('1_Cost_Job'!B52/60)*'1_Cost_Job'!B50</x:f>
        <x:v>0.3</x:v>
      </x:c>
    </x:row>
    <x:row r="31" ht="15" hidden="0">
      <x:c r="A31" s="6" t="s">
        <x:v>160</x:v>
      </x:c>
      <x:c r="B31" s="26" t="n">
        <x:f aca="0">IF('1_Cost_Job'!B6="B",('1_Cost_Job'!B53/60)*'1_Cost_Job'!B50,0)</x:f>
        <x:v>0</x:v>
      </x:c>
    </x:row>
    <x:row r="32" ht="15" hidden="0">
      <x:c r="A32" s="6" t="s">
        <x:v>161</x:v>
      </x:c>
      <x:c r="B32" s="15" t="n">
        <x:v>0.6</x:v>
      </x:c>
    </x:row>
    <x:row r="33" ht="15" hidden="0">
      <x:c r="A33" s="10" t="s">
        <x:v>162</x:v>
      </x:c>
      <x:c r="B33" s="29" t="n">
        <x:f aca="0">IF((B19*(1-B32)+B31)=0,0,(B29+B30+B31)/(B19*(1-B32)+B31))</x:f>
        <x:v>0.6482191601049869</x:v>
      </x:c>
      <x:c r="D33" s="3" t="s">
        <x:v>163</x:v>
      </x:c>
    </x:row>
    <x:row r="34" ht="15" hidden="0">
      <x:c r="A34" s="6" t="s">
        <x:v>164</x:v>
      </x:c>
      <x:c r="B34" s="30" t="n">
        <x:f aca="0">'1_Cost_Job'!B10</x:f>
        <x:v>0.85</x:v>
      </x:c>
    </x:row>
    <x:row r="35" ht="15" hidden="0">
      <x:c r="A35" s="6" t="s">
        <x:v>165</x:v>
      </x:c>
      <x:c r="B35" s="7" t="str">
        <x:f aca="0">IF(B34&gt;=B33,"ĐẠT — mô hình có lãi lành mạnh","CHƯA ĐẠT — phải tăng containment, tăng giá, hoặc đổi biến thể HITL")</x:f>
        <x:v>ĐẠT — mô hình có lãi lành mạnh</x:v>
      </x:c>
    </x:row>
    <x:row r="37" ht="15" hidden="0">
      <x:c r="A37" s="11" t="s">
        <x:v>166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31" t="s">
        <x:v>167</x:v>
      </x:c>
      <x:c r="B38" s="31" t="s">
        <x:v>168</x:v>
      </x:c>
      <x:c r="C38" s="31" t="s">
        <x:v>169</x:v>
      </x:c>
      <x:c r="D38" s="31" t="s">
        <x:v>170</x:v>
      </x:c>
    </x:row>
    <x:row r="39" ht="15" hidden="0">
      <x:c r="A39" s="32" t="n">
        <x:v>0.5</x:v>
      </x:c>
      <x:c r="B39" s="18" t="n">
        <x:f aca="0">($B$29+$B$30+$B$31*(1-A39))/A39</x:f>
        <x:v>1.975772</x:v>
      </x:c>
      <x:c r="C39" s="20" t="n">
        <x:f aca="0">IF($B$19=0,0,1-B39/$B$19)</x:f>
        <x:v>0.48142467191601046</x:v>
      </x:c>
      <x:c r="D39" s="7" t="str">
        <x:f aca="0">IF(C39&gt;=0.6,"An toàn",IF(C39&gt;=0.5,"Cảnh báo","Nguy hiểm"))</x:f>
        <x:v>Nguy hiểm</x:v>
      </x:c>
    </x:row>
    <x:row r="40" ht="15" hidden="0">
      <x:c r="A40" s="32" t="n">
        <x:v>0.6</x:v>
      </x:c>
      <x:c r="B40" s="18" t="n">
        <x:f aca="0">($B$29+$B$30+$B$31*(1-A40))/A40</x:f>
        <x:v>1.6464766666666668</x:v>
      </x:c>
      <x:c r="C40" s="20" t="n">
        <x:f aca="0">IF($B$19=0,0,1-B40/$B$19)</x:f>
        <x:v>0.5678538932633421</x:v>
      </x:c>
      <x:c r="D40" s="7" t="str">
        <x:f aca="0">IF(C40&gt;=0.6,"An toàn",IF(C40&gt;=0.5,"Cảnh báo","Nguy hiểm"))</x:f>
        <x:v>Cảnh báo</x:v>
      </x:c>
    </x:row>
    <x:row r="41" ht="15" hidden="0">
      <x:c r="A41" s="32" t="n">
        <x:v>0.7</x:v>
      </x:c>
      <x:c r="B41" s="18" t="n">
        <x:f aca="0">($B$29+$B$30+$B$31*(1-A41))/A41</x:f>
        <x:v>1.4112657142857143</x:v>
      </x:c>
      <x:c r="C41" s="20" t="n">
        <x:f aca="0">IF($B$19=0,0,1-B41/$B$19)</x:f>
        <x:v>0.6295890513685789</x:v>
      </x:c>
      <x:c r="D41" s="7" t="str">
        <x:f aca="0">IF(C41&gt;=0.6,"An toàn",IF(C41&gt;=0.5,"Cảnh báo","Nguy hiểm"))</x:f>
        <x:v>An toàn</x:v>
      </x:c>
    </x:row>
    <x:row r="42" ht="15" hidden="0">
      <x:c r="A42" s="32" t="n">
        <x:v>0.8</x:v>
      </x:c>
      <x:c r="B42" s="18" t="n">
        <x:f aca="0">($B$29+$B$30+$B$31*(1-A42))/A42</x:f>
        <x:v>1.2348575</x:v>
      </x:c>
      <x:c r="C42" s="20" t="n">
        <x:f aca="0">IF($B$19=0,0,1-B42/$B$19)</x:f>
        <x:v>0.6758904199475066</x:v>
      </x:c>
      <x:c r="D42" s="7" t="str">
        <x:f aca="0">IF(C42&gt;=0.6,"An toàn",IF(C42&gt;=0.5,"Cảnh báo","Nguy hiểm"))</x:f>
        <x:v>An toàn</x:v>
      </x:c>
    </x:row>
    <x:row r="43" ht="15" hidden="0">
      <x:c r="A43" s="32" t="n">
        <x:v>0.9</x:v>
      </x:c>
      <x:c r="B43" s="18" t="n">
        <x:f aca="0">($B$29+$B$30+$B$31*(1-A43))/A43</x:f>
        <x:v>1.0976511111111111</x:v>
      </x:c>
      <x:c r="C43" s="20" t="n">
        <x:f aca="0">IF($B$19=0,0,1-B43/$B$19)</x:f>
        <x:v>0.7119025955088947</x:v>
      </x:c>
      <x:c r="D43" s="7" t="str">
        <x:f aca="0">IF(C43&gt;=0.6,"An toàn",IF(C43&gt;=0.5,"Cảnh báo","Nguy hiểm"))</x:f>
        <x:v>An toàn</x:v>
      </x:c>
    </x:row>
    <x:row r="44" ht="15" hidden="0">
      <x:c r="A44" s="32" t="n">
        <x:v>0.95</x:v>
      </x:c>
      <x:c r="B44" s="18" t="n">
        <x:f aca="0">($B$29+$B$30+$B$31*(1-A44))/A44</x:f>
        <x:v>1.0398800000000001</x:v>
      </x:c>
      <x:c r="C44" s="20" t="n">
        <x:f aca="0">IF($B$19=0,0,1-B44/$B$19)</x:f>
        <x:v>0.7270656167979002</x:v>
      </x:c>
      <x:c r="D44" s="7" t="str">
        <x:f aca="0">IF(C44&gt;=0.6,"An toàn",IF(C44&gt;=0.5,"Cảnh báo","Nguy hiểm"))</x:f>
        <x:v>An toàn</x:v>
      </x:c>
    </x:row>
    <x:row r="46" ht="15" hidden="0">
      <x:c r="A46" s="3" t="s">
        <x:v>171</x:v>
      </x:c>
    </x:row>
    <x:row r="48" ht="15" hidden="0">
      <x:c r="A48" s="11" t="s">
        <x:v>172</x:v>
      </x:c>
      <x:c r="B48" s="12"/>
      <x:c r="C48" s="12"/>
      <x:c r="D48" s="12"/>
      <x:c r="E48" s="12"/>
      <x:c r="F48" s="12"/>
      <x:c r="G48" s="12"/>
      <x:c r="H48" s="12"/>
    </x:row>
    <x:row r="49" ht="15" hidden="0">
      <x:c r="A49" s="10" t="s">
        <x:v>168</x:v>
      </x:c>
      <x:c r="B49" s="19" t="n">
        <x:f aca="0">B5</x:f>
        <x:v>1.1622188235294117</x:v>
      </x:c>
    </x:row>
    <x:row r="50" ht="15" hidden="0">
      <x:c r="A50" s="10" t="s">
        <x:v>173</x:v>
      </x:c>
      <x:c r="B50" s="19" t="n">
        <x:f aca="0">B7</x:f>
        <x:v>3.486656470588235</x:v>
      </x:c>
    </x:row>
    <x:row r="51" ht="15" hidden="0">
      <x:c r="A51" s="10" t="s">
        <x:v>174</x:v>
      </x:c>
      <x:c r="B51" s="19" t="n">
        <x:f aca="0">B19</x:f>
        <x:v>3.81</x:v>
      </x:c>
    </x:row>
    <x:row r="52" ht="15" hidden="0">
      <x:c r="A52" s="10" t="s">
        <x:v>169</x:v>
      </x:c>
      <x:c r="B52" s="29" t="n">
        <x:f aca="0">B21</x:f>
        <x:v>0.6949556893623592</x:v>
      </x:c>
    </x:row>
    <x:row r="53" ht="15" hidden="0">
      <x:c r="A53" s="10" t="s">
        <x:v>175</x:v>
      </x:c>
      <x:c r="B53" s="29" t="n">
        <x:f aca="0">B33</x:f>
        <x:v>0.6482191601049869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72" hidden="0" customWidth="1"/>
    <x:col min="2" max="2" width="12" hidden="0" customWidth="1"/>
    <x:col min="3" max="3" width="50" hidden="0" customWidth="1"/>
    <x:col min="4" max="4" width="46" hidden="0" customWidth="1"/>
    <x:col min="5" max="8" width="15" hidden="0" customWidth="1"/>
  </x:cols>
  <x:sheetData>
    <x:row r="1" ht="24" hidden="0" customHeight="1">
      <x:c r="A1" s="65" t="s">
        <x:v>176</x:v>
      </x:c>
      <x:c r="B1" s="66"/>
      <x:c r="C1" s="66"/>
      <x:c r="D1" s="66"/>
      <x:c r="E1" s="66"/>
      <x:c r="F1" s="66"/>
      <x:c r="G1" s="66"/>
      <x:c r="H1" s="66"/>
    </x:row>
    <x:row r="2" ht="15" hidden="0">
      <x:c r="A2" s="3" t="s">
        <x:v>177</x:v>
      </x:c>
    </x:row>
    <x:row r="4" ht="15" hidden="0">
      <x:c r="A4" s="11" t="s">
        <x:v>178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179</x:v>
      </x:c>
      <x:c r="B5" s="13" t="n">
        <x:v>1</x:v>
      </x:c>
    </x:row>
    <x:row r="6" ht="15" hidden="0">
      <x:c r="A6" s="6" t="s">
        <x:v>180</x:v>
      </x:c>
      <x:c r="B6" s="13" t="n">
        <x:v>0</x:v>
      </x:c>
    </x:row>
    <x:row r="7" ht="15" hidden="0">
      <x:c r="A7" s="6" t="s">
        <x:v>181</x:v>
      </x:c>
      <x:c r="B7" s="13" t="n">
        <x:v>0</x:v>
      </x:c>
    </x:row>
    <x:row r="8" ht="15" hidden="0">
      <x:c r="A8" s="6" t="s">
        <x:v>182</x:v>
      </x:c>
      <x:c r="B8" s="13" t="n">
        <x:v>0</x:v>
      </x:c>
    </x:row>
    <x:row r="9" ht="15" hidden="0">
      <x:c r="A9" s="6" t="s">
        <x:v>183</x:v>
      </x:c>
      <x:c r="B9" s="13" t="n">
        <x:v>1</x:v>
      </x:c>
    </x:row>
    <x:row r="10" ht="15" hidden="0">
      <x:c r="A10" s="10" t="s">
        <x:v>184</x:v>
      </x:c>
      <x:c r="B10" s="33" t="n">
        <x:f aca="0">SUM(B5:B9)</x:f>
        <x:v>2</x:v>
      </x:c>
    </x:row>
    <x:row r="12" ht="15" hidden="0">
      <x:c r="A12" s="11" t="s">
        <x:v>185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186</x:v>
      </x:c>
      <x:c r="B13" s="13" t="n">
        <x:v>1</x:v>
      </x:c>
    </x:row>
    <x:row r="14" ht="15" hidden="0">
      <x:c r="A14" s="6" t="s">
        <x:v>187</x:v>
      </x:c>
      <x:c r="B14" s="13" t="n">
        <x:v>1</x:v>
      </x:c>
    </x:row>
    <x:row r="15" ht="15" hidden="0">
      <x:c r="A15" s="6" t="s">
        <x:v>188</x:v>
      </x:c>
      <x:c r="B15" s="13" t="n">
        <x:v>1</x:v>
      </x:c>
    </x:row>
    <x:row r="16" ht="15" hidden="0">
      <x:c r="A16" s="6" t="s">
        <x:v>189</x:v>
      </x:c>
      <x:c r="B16" s="13" t="n">
        <x:v>1</x:v>
      </x:c>
    </x:row>
    <x:row r="17" ht="15" hidden="0">
      <x:c r="A17" s="6" t="s">
        <x:v>190</x:v>
      </x:c>
      <x:c r="B17" s="13" t="n">
        <x:v>1</x:v>
      </x:c>
    </x:row>
    <x:row r="18" ht="15" hidden="0">
      <x:c r="A18" s="10" t="s">
        <x:v>191</x:v>
      </x:c>
      <x:c r="B18" s="33" t="n">
        <x:f aca="0">SUM(B13:B17)</x:f>
        <x:v>5</x:v>
      </x:c>
    </x:row>
    <x:row r="20" ht="15" hidden="0">
      <x:c r="A20" s="11" t="s">
        <x:v>192</x:v>
      </x:c>
      <x:c r="B20" s="12"/>
      <x:c r="C20" s="12"/>
      <x:c r="D20" s="12"/>
      <x:c r="E20" s="12"/>
      <x:c r="F20" s="12"/>
      <x:c r="G20" s="12"/>
      <x:c r="H20" s="12"/>
    </x:row>
    <x:row r="21" ht="15" hidden="0">
      <x:c r="A21" s="10" t="s">
        <x:v>193</x:v>
      </x:c>
      <x:c r="B21" s="34" t="str">
        <x:f aca="0">IF(AND(B10&gt;=7,B18&gt;=7),"OUTCOME",IF(AND(B10&gt;=7,B18&lt;7),"USAGE",IF(AND(B10&lt;7,B18&gt;=7),"USAGE (an toàn)","SEAT hoặc HYBRID")))</x:f>
        <x:v>SEAT hoặc HYBRID</x:v>
      </x:c>
    </x:row>
    <x:row r="22" ht="15" hidden="0">
      <x:c r="A22" s="3" t="s">
        <x:v>194</x:v>
      </x:c>
    </x:row>
    <x:row r="24" ht="15" hidden="0">
      <x:c r="A24" s="11" t="s">
        <x:v>195</x:v>
      </x:c>
      <x:c r="B24" s="12"/>
      <x:c r="C24" s="12"/>
      <x:c r="D24" s="12"/>
      <x:c r="E24" s="12"/>
      <x:c r="F24" s="12"/>
      <x:c r="G24" s="12"/>
      <x:c r="H24" s="12"/>
    </x:row>
    <x:row r="25" ht="15" hidden="0">
      <x:c r="A25" s="31" t="s">
        <x:v>196</x:v>
      </x:c>
      <x:c r="B25" s="31" t="s">
        <x:v>197</x:v>
      </x:c>
      <x:c r="C25" s="31" t="s">
        <x:v>198</x:v>
      </x:c>
      <x:c r="D25" s="31" t="s">
        <x:v>199</x:v>
      </x:c>
    </x:row>
    <x:row r="26" ht="15" hidden="0">
      <x:c r="A26" s="64" t="str">
        <x:v>Teal+</x:v>
      </x:c>
      <x:c r="B26" s="64" t="str">
        <x:v>Hybrid subscription + AI credits</x:v>
      </x:c>
      <x:c r="C26" s="64" t="str">
        <x:v>$13/7 ngày; $29/30 ngày</x:v>
      </x:c>
      <x:c r="D26" s="64" t="str">
        <x:v>https://www.tealhq.com/pricing</x:v>
      </x:c>
    </x:row>
    <x:row r="27" ht="15" hidden="0">
      <x:c r="A27" s="64" t="str">
        <x:v>Jobscan</x:v>
      </x:c>
      <x:c r="B27" s="64" t="str">
        <x:v>Usage: CV-JD match / AI optimize</x:v>
      </x:c>
      <x:c r="C27" s="64" t="str">
        <x:v>Giá công bố cần xác nhận trước pilot</x:v>
      </x:c>
      <x:c r="D27" s="64" t="str">
        <x:v>https://www.jobscan.co/resume-scanner</x:v>
      </x:c>
    </x:row>
    <x:row r="29" ht="15" hidden="0">
      <x:c r="A29" s="11" t="s">
        <x:v>200</x:v>
      </x:c>
      <x:c r="B29" s="12"/>
      <x:c r="C29" s="12"/>
      <x:c r="D29" s="12"/>
      <x:c r="E29" s="12"/>
      <x:c r="F29" s="12"/>
      <x:c r="G29" s="12"/>
      <x:c r="H29" s="12"/>
    </x:row>
    <x:row r="30" ht="15" hidden="0">
      <x:c r="A30" s="6" t="s">
        <x:v>201</x:v>
      </x:c>
      <x:c r="B30" s="5" t="str">
        <x:v>Hybrid</x:v>
      </x:c>
    </x:row>
    <x:row r="31" ht="15" hidden="0">
      <x:c r="A31" s="6" t="s">
        <x:v>202</x:v>
      </x:c>
      <x:c r="B31" s="5" t="str">
        <x:v>Gợi ý scorecard là Seat/Hybrid vì Attribution mới 2/10. Hybrid phù hợp: thuê bao cho quota tự phục vụ, còn voice/usage vượt quota thu thêm để chặn người dùng nặng.</x:v>
      </x:c>
    </x:row>
    <x:row r="32" ht="15" hidden="0">
      <x:c r="A32" s="6" t="s">
        <x:v>203</x:v>
      </x:c>
      <x:c r="B32" s="5" t="str">
        <x:v>Thu 99.000đ/tháng cho quota 15 hành động AI hoàn tất; voice hoặc lượt vượt quota tính riêng.</x:v>
      </x:c>
    </x:row>
    <x:row r="33" ht="15" hidden="0">
      <x:c r="A33" s="6" t="s">
        <x:v>204</x:v>
      </x:c>
      <x:c r="B33" s="5" t="str">
        <x:v>Attribution 2/10 (chưa có eval Day 21–22); Autonomy 5/10 là giả định vận hành. Vì chưa chứng minh kết quả có việc làm do AI, không bán Outcome.</x:v>
      </x:c>
    </x:row>
    <x:row r="34" ht="15" hidden="0">
      <x:c r="A34" s="6" t="s">
        <x:v>205</x:v>
      </x:c>
      <x:c r="B34" s="5" t="str">
        <x:v>Lỗ khi một thuê bao dùng quá quota/đẩy output token cao mà không bị giới hạn hoặc containment giảm dưới ngưỡng; quota, cache và overage là cơ chế chặn rủi ro.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65" t="s">
        <x:v>206</x:v>
      </x:c>
      <x:c r="B1" s="66"/>
      <x:c r="C1" s="66"/>
      <x:c r="D1" s="66"/>
      <x:c r="E1" s="66"/>
      <x:c r="F1" s="66"/>
      <x:c r="G1" s="66"/>
      <x:c r="H1" s="66"/>
    </x:row>
    <x:row r="2" ht="15" hidden="0">
      <x:c r="A2" s="3" t="s">
        <x:v>207</x:v>
      </x:c>
    </x:row>
    <x:row r="4" ht="15" hidden="0">
      <x:c r="A4" s="11" t="s">
        <x:v>208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209</x:v>
      </x:c>
      <x:c r="B5" s="27" t="n">
        <x:v>3.81</x:v>
      </x:c>
    </x:row>
    <x:row r="6" ht="15" hidden="0">
      <x:c r="A6" s="6" t="s">
        <x:v>210</x:v>
      </x:c>
      <x:c r="B6" s="30" t="n">
        <x:f aca="0">'2_Pricing'!B21</x:f>
        <x:v>0.6949556893623592</x:v>
      </x:c>
    </x:row>
    <x:row r="7" ht="15" hidden="0">
      <x:c r="A7" s="6" t="s">
        <x:v>211</x:v>
      </x:c>
      <x:c r="B7" s="13" t="str">
        <x:v>SMB</x:v>
      </x:c>
    </x:row>
    <x:row r="8" ht="15" hidden="0">
      <x:c r="A8" s="6" t="s">
        <x:v>212</x:v>
      </x:c>
      <x:c r="B8" s="16" t="n">
        <x:f aca="0">IF(B7="SMB",12,IF(B7="Mid",18,24))</x:f>
        <x:v>12</x:v>
      </x:c>
      <x:c r="C8" s="3" t="s">
        <x:v>213</x:v>
      </x:c>
      <x:c r="D8" s="3" t="s">
        <x:v>214</x:v>
      </x:c>
    </x:row>
    <x:row r="9" ht="15" hidden="0">
      <x:c r="A9" s="10" t="s">
        <x:v>215</x:v>
      </x:c>
      <x:c r="B9" s="35" t="n">
        <x:f aca="0">B5*B6*B8</x:f>
        <x:v>31.773374117647062</x:v>
      </x:c>
      <x:c r="D9" s="3" t="s">
        <x:v>216</x:v>
      </x:c>
    </x:row>
    <x:row r="10" ht="15" hidden="0">
      <x:c r="A10" s="6" t="s">
        <x:v>217</x:v>
      </x:c>
      <x:c r="B10" s="36" t="n">
        <x:f aca="0">B5*12</x:f>
        <x:v>45.72</x:v>
      </x:c>
    </x:row>
    <x:row r="12" ht="15" hidden="0">
      <x:c r="A12" s="11" t="s">
        <x:v>218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219</x:v>
      </x:c>
      <x:c r="B13" s="27" t="n">
        <x:v>500000</x:v>
      </x:c>
      <x:c r="D13" s="3" t="s">
        <x:v>220</x:v>
      </x:c>
    </x:row>
    <x:row r="14" ht="15" hidden="0">
      <x:c r="A14" s="6" t="s">
        <x:v>221</x:v>
      </x:c>
      <x:c r="B14" s="14" t="n">
        <x:v>250</x:v>
      </x:c>
      <x:c r="C14" s="3" t="s">
        <x:v>222</x:v>
      </x:c>
    </x:row>
    <x:row r="15" ht="15" hidden="0">
      <x:c r="A15" s="6" t="s">
        <x:v>223</x:v>
      </x:c>
      <x:c r="B15" s="16" t="n">
        <x:f aca="0">IF(B10=0,0,B13/B10)</x:f>
        <x:v>10936.132983377078</x:v>
      </x:c>
    </x:row>
    <x:row r="16" ht="15" hidden="0">
      <x:c r="A16" s="10" t="s">
        <x:v>224</x:v>
      </x:c>
      <x:c r="B16" s="37" t="n">
        <x:f aca="0">IF(B14=0,0,B15/B14)</x:f>
        <x:v>43.74453193350831</x:v>
      </x:c>
      <x:c r="C16" s="3" t="s">
        <x:v>225</x:v>
      </x:c>
    </x:row>
    <x:row r="17" ht="15" hidden="0">
      <x:c r="A17" s="6" t="s">
        <x:v>226</x:v>
      </x:c>
      <x:c r="B17" s="7" t="str">
        <x:f aca="0">IF(B16&lt;=1,"KHẢ THI về mặt số học","BẤT KHẢ THI — ACV quá thấp để nuôi sales rep")</x:f>
        <x:v>BẤT KHẢ THI — ACV quá thấp để nuôi sales rep</x:v>
      </x:c>
    </x:row>
    <x:row r="19" ht="15" hidden="0">
      <x:c r="A19" s="11" t="s">
        <x:v>227</x:v>
      </x:c>
      <x:c r="B19" s="12"/>
      <x:c r="C19" s="12"/>
      <x:c r="D19" s="12"/>
      <x:c r="E19" s="12"/>
      <x:c r="F19" s="12"/>
      <x:c r="G19" s="12"/>
      <x:c r="H19" s="12"/>
    </x:row>
    <x:row r="20" ht="15" hidden="0">
      <x:c r="A20" s="6" t="s">
        <x:v>228</x:v>
      </x:c>
      <x:c r="B20" s="27" t="n">
        <x:v>6300</x:v>
      </x:c>
      <x:c r="D20" s="3" t="s">
        <x:v>229</x:v>
      </x:c>
    </x:row>
    <x:row r="21" ht="15" hidden="0">
      <x:c r="A21" s="6" t="s">
        <x:v>230</x:v>
      </x:c>
      <x:c r="B21" s="15" t="n">
        <x:v>0.25</x:v>
      </x:c>
    </x:row>
    <x:row r="22" ht="15" hidden="0">
      <x:c r="A22" s="6" t="s">
        <x:v>231</x:v>
      </x:c>
      <x:c r="B22" s="36" t="n">
        <x:f aca="0">IF(B21=0,0,B20/B21)</x:f>
        <x:v>25200</x:v>
      </x:c>
    </x:row>
    <x:row r="23" ht="15" hidden="0">
      <x:c r="A23" s="10" t="s">
        <x:v>232</x:v>
      </x:c>
      <x:c r="B23" s="38" t="n">
        <x:f aca="0">IF(B9=0,0,B22/B9)</x:f>
        <x:v>793.116900543585</x:v>
      </x:c>
      <x:c r="D23" s="3" t="s">
        <x:v>233</x:v>
      </x:c>
    </x:row>
    <x:row r="24" ht="15" hidden="0">
      <x:c r="A24" s="6" t="s">
        <x:v>165</x:v>
      </x:c>
      <x:c r="B24" s="7" t="str">
        <x:f aca="0">IF(B23&lt;=1,"Motion có sales KHẢ THI",IF(B23&lt;=3,"Căng — cần tăng giá hoặc giảm chi phí bán hàng","KHÔNG KHẢ THI — đi PLG hoặc Partner-Led"))</x:f>
        <x:v>KHÔNG KHẢ THI — đi PLG hoặc Partner-Led</x:v>
      </x:c>
    </x:row>
    <x:row r="26" ht="15" hidden="0">
      <x:c r="A26" s="11" t="s">
        <x:v>234</x:v>
      </x:c>
      <x:c r="B26" s="12"/>
      <x:c r="C26" s="12"/>
      <x:c r="D26" s="12"/>
      <x:c r="E26" s="12"/>
      <x:c r="F26" s="12"/>
      <x:c r="G26" s="12"/>
      <x:c r="H26" s="12"/>
    </x:row>
    <x:row r="27" ht="15" hidden="0">
      <x:c r="A27" s="31" t="s">
        <x:v>235</x:v>
      </x:c>
      <x:c r="B27" s="31" t="s">
        <x:v>236</x:v>
      </x:c>
      <x:c r="C27" s="31" t="s">
        <x:v>237</x:v>
      </x:c>
      <x:c r="D27" s="31" t="s">
        <x:v>238</x:v>
      </x:c>
    </x:row>
    <x:row r="28" ht="15" hidden="0">
      <x:c r="A28" s="6" t="s">
        <x:v>239</x:v>
      </x:c>
      <x:c r="B28" s="13" t="n">
        <x:v>5</x:v>
      </x:c>
      <x:c r="C28" s="13" t="n">
        <x:v>1</x:v>
      </x:c>
      <x:c r="D28" s="13" t="n">
        <x:v>2</x:v>
      </x:c>
    </x:row>
    <x:row r="29" ht="15" hidden="0">
      <x:c r="A29" s="6" t="s">
        <x:v>240</x:v>
      </x:c>
      <x:c r="B29" s="13" t="n">
        <x:v>5</x:v>
      </x:c>
      <x:c r="C29" s="13" t="n">
        <x:v>1</x:v>
      </x:c>
      <x:c r="D29" s="13" t="n">
        <x:v>2</x:v>
      </x:c>
    </x:row>
    <x:row r="30" ht="15" hidden="0">
      <x:c r="A30" s="6" t="s">
        <x:v>241</x:v>
      </x:c>
      <x:c r="B30" s="13" t="n">
        <x:v>4</x:v>
      </x:c>
      <x:c r="C30" s="13" t="n">
        <x:v>1</x:v>
      </x:c>
      <x:c r="D30" s="13" t="n">
        <x:v>2</x:v>
      </x:c>
    </x:row>
    <x:row r="31" ht="15" hidden="0">
      <x:c r="A31" s="6" t="s">
        <x:v>242</x:v>
      </x:c>
      <x:c r="B31" s="13" t="n">
        <x:v>4</x:v>
      </x:c>
      <x:c r="C31" s="13" t="n">
        <x:v>1</x:v>
      </x:c>
      <x:c r="D31" s="13" t="n">
        <x:v>2</x:v>
      </x:c>
    </x:row>
    <x:row r="32" ht="15" hidden="0">
      <x:c r="A32" s="6" t="s">
        <x:v>243</x:v>
      </x:c>
      <x:c r="B32" s="13" t="n">
        <x:v>5</x:v>
      </x:c>
      <x:c r="C32" s="13" t="n">
        <x:v>1</x:v>
      </x:c>
      <x:c r="D32" s="13" t="n">
        <x:v>2</x:v>
      </x:c>
    </x:row>
    <x:row r="33" ht="15" hidden="0">
      <x:c r="A33" s="6" t="s">
        <x:v>244</x:v>
      </x:c>
      <x:c r="B33" s="13" t="n">
        <x:v>5</x:v>
      </x:c>
      <x:c r="C33" s="13" t="n">
        <x:v>2</x:v>
      </x:c>
      <x:c r="D33" s="13" t="n">
        <x:v>3</x:v>
      </x:c>
    </x:row>
    <x:row r="34" ht="15" hidden="0">
      <x:c r="A34" s="10" t="s">
        <x:v>245</x:v>
      </x:c>
      <x:c r="B34" s="34" t="n">
        <x:f aca="0">SUM(B28:B33)</x:f>
        <x:v>28</x:v>
      </x:c>
      <x:c r="C34" s="34" t="n">
        <x:f aca="0">SUM(C28:C33)</x:f>
        <x:v>7</x:v>
      </x:c>
      <x:c r="D34" s="34" t="n">
        <x:f aca="0">SUM(D28:D33)</x:f>
        <x:v>13</x:v>
      </x:c>
    </x:row>
    <x:row r="35" ht="15" hidden="0">
      <x:c r="A35" s="10" t="s">
        <x:v>246</x:v>
      </x:c>
      <x:c r="B35" s="34" t="str">
        <x:f aca="0">IF(AND(B34&gt;=C34,B34&gt;=D34),"PLG",IF(C34&gt;=D34,"Sales-Led","Partner-Led"))</x:f>
        <x:v>PLG</x:v>
      </x:c>
    </x:row>
    <x:row r="37" ht="15" hidden="0">
      <x:c r="A37" s="11" t="s">
        <x:v>247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6" t="s">
        <x:v>248</x:v>
      </x:c>
      <x:c r="B38" s="5" t="str">
        <x:v>PLG</x:v>
      </x:c>
      <x:c r="D38" s="3" t="s">
        <x:v>249</x:v>
      </x:c>
    </x:row>
    <x:row r="39" ht="15" hidden="0">
      <x:c r="A39" s="6" t="s">
        <x:v>250</x:v>
      </x:c>
      <x:c r="B39" s="5" t="str">
        <x:v>N/A — PLG được chọn</x:v>
      </x:c>
      <x:c r="D39" s="3" t="s">
        <x:v>251</x:v>
      </x:c>
    </x:row>
    <x:row r="40" ht="15" hidden="0">
      <x:c r="A40" s="6" t="s">
        <x:v>252</x:v>
      </x:c>
      <x:c r="B40" s="5" t="str">
        <x:v>N/A</x:v>
      </x:c>
    </x:row>
    <x:row r="41" ht="15" hidden="0">
      <x:c r="A41" s="6" t="s">
        <x:v>253</x:v>
      </x:c>
      <x:c r="B41" s="5" t="str">
        <x:v>Onboarding tự phục vụ, referral và campus ambassador; không phụ thuộc partner trong 90 ngày đầu.</x:v>
      </x:c>
    </x:row>
    <x:row r="42" ht="15" hidden="0">
      <x:c r="A42" s="6" t="s">
        <x:v>254</x:v>
      </x:c>
      <x:c r="B42" s="5" t="str">
        <x:v>Nếu activation &lt;30% sau 30 ngày: thu hẹp onboarding vào CV-JD match, bỏ voice ở gói cơ bản và thử referral theo CLB/khoa.</x:v>
      </x:c>
      <x:c r="D42" s="3" t="s">
        <x:v>255</x:v>
      </x:c>
    </x:row>
  </x:sheetData>
  <x:dataValidations count="1">
    <x:dataValidation type="list" errorStyle="stop" operator="between" allowBlank="0" showDropDown="0" showInputMessage="0" showErrorMessage="0" sqref="B7">
      <x:formula1>"SMB,Mid,Enterprise"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0" hidden="0" customWidth="1"/>
    <x:col min="2" max="4" width="34" hidden="0" customWidth="1"/>
    <x:col min="5" max="8" width="15" hidden="0" customWidth="1"/>
  </x:cols>
  <x:sheetData>
    <x:row r="1" ht="24" hidden="0" customHeight="1">
      <x:c r="A1" s="65" t="s">
        <x:v>256</x:v>
      </x:c>
      <x:c r="B1" s="66"/>
      <x:c r="C1" s="66"/>
      <x:c r="D1" s="66"/>
      <x:c r="E1" s="66"/>
      <x:c r="F1" s="66"/>
      <x:c r="G1" s="66"/>
      <x:c r="H1" s="66"/>
    </x:row>
    <x:row r="2" ht="15" hidden="0">
      <x:c r="A2" s="3" t="s">
        <x:v>257</x:v>
      </x:c>
    </x:row>
    <x:row r="4" ht="15" hidden="0">
      <x:c r="A4" s="11" t="s">
        <x:v>258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259</x:v>
      </x:c>
      <x:c r="B5" s="5" t="str">
        <x:v>20:00–23:00, sau giờ học / trước khi nộp hồ sơ</x:v>
      </x:c>
    </x:row>
    <x:row r="6" ht="15" hidden="0">
      <x:c r="A6" s="6" t="s">
        <x:v>260</x:v>
      </x:c>
      <x:c r="B6" s="5" t="str">
        <x:v>Dán JD, sửa CV và chuẩn bị phỏng vấn cho một vị trí cụ thể</x:v>
      </x:c>
    </x:row>
    <x:row r="7" ht="15" hidden="0">
      <x:c r="A7" s="6" t="s">
        <x:v>261</x:v>
      </x:c>
      <x:c r="B7" s="5" t="str">
        <x:v>LinkedIn Jobs hoặc VietnamWorks trên Chrome</x:v>
      </x:c>
    </x:row>
    <x:row r="8" ht="15" hidden="0">
      <x:c r="A8" s="6" t="s">
        <x:v>262</x:v>
      </x:c>
      <x:c r="B8" s="5" t="str">
        <x:v>Chrome extension: nút 'Phân tích CV-JD' khi người dùng đang xem trang JD; deep link mở Career Assistant X với JD đã dán.</x:v>
      </x:c>
      <x:c r="D8" s="3" t="s">
        <x:v>263</x:v>
      </x:c>
    </x:row>
    <x:row r="10" ht="15" hidden="0">
      <x:c r="A10" s="11" t="s">
        <x:v>264</x:v>
      </x:c>
      <x:c r="B10" s="12"/>
      <x:c r="C10" s="12"/>
      <x:c r="D10" s="12"/>
      <x:c r="E10" s="12"/>
      <x:c r="F10" s="12"/>
      <x:c r="G10" s="12"/>
      <x:c r="H10" s="12"/>
    </x:row>
    <x:row r="11" ht="15" hidden="0">
      <x:c r="A11" s="31"/>
      <x:c r="B11" s="31" t="s">
        <x:v>265</x:v>
      </x:c>
      <x:c r="C11" s="31" t="s">
        <x:v>266</x:v>
      </x:c>
      <x:c r="D11" s="31" t="s">
        <x:v>267</x:v>
      </x:c>
    </x:row>
    <x:row r="12" ht="30" hidden="0" customHeight="1">
      <x:c r="A12" s="6" t="s">
        <x:v>268</x:v>
      </x:c>
      <x:c r="B12" s="39" t="str">
        <x:v>PLG</x:v>
      </x:c>
      <x:c r="C12" s="39" t="str">
        <x:v>PLG</x:v>
      </x:c>
      <x:c r="D12" s="39" t="str">
        <x:v>PLG</x:v>
      </x:c>
    </x:row>
    <x:row r="13" ht="30" hidden="0" customHeight="1">
      <x:c r="A13" s="6" t="s">
        <x:v>269</x:v>
      </x:c>
      <x:c r="B13" s="39" t="n">
        <x:v>20</x:v>
      </x:c>
      <x:c r="C13" s="39" t="n">
        <x:v>100</x:v>
      </x:c>
      <x:c r="D13" s="39" t="n">
        <x:v>300</x:v>
      </x:c>
    </x:row>
    <x:row r="14" ht="30" hidden="0" customHeight="1">
      <x:c r="A14" s="6" t="s">
        <x:v>270</x:v>
      </x:c>
      <x:c r="B14" s="67" t="str">
        <x:v>Phỏng vấn 10 sinh viên; test 2 luồng onboarding CV-JD</x:v>
      </x:c>
      <x:c r="C14" s="67" t="str">
        <x:v>Mở referral mã giới thiệu; phối hợp 2 campus ambassador</x:v>
      </x:c>
      <x:c r="D14" s="67" t="str">
        <x:v>Mở rộng khoa/CLB có activation tốt nhất</x:v>
      </x:c>
    </x:row>
    <x:row r="15" ht="30" hidden="0" customHeight="1">
      <x:c r="A15" s="6" t="s">
        <x:v>271</x:v>
      </x:c>
      <x:c r="B15" s="67" t="str">
        <x:v>Ship extension beta + event log cho quota, token, retry</x:v>
      </x:c>
      <x:c r="C15" s="67" t="str">
        <x:v>Tối ưu prompt cache và paywall quota/overage</x:v>
      </x:c>
      <x:c r="D15" s="67" t="str">
        <x:v>Chuẩn hoá playbook ambassador và hỗ trợ tự phục vụ</x:v>
      </x:c>
    </x:row>
    <x:row r="16" ht="30" hidden="0" customHeight="1">
      <x:c r="A16" s="6" t="s">
        <x:v>272</x:v>
      </x:c>
      <x:c r="B16" s="67" t="str">
        <x:v>Review 40% mẫu output; ghi lỗi rubric và hướng sửa</x:v>
      </x:c>
      <x:c r="C16" s="67" t="str">
        <x:v>Chạy cohort retention tuần 4; sửa 3 lỗi lặp lại nhiều nhất</x:v>
      </x:c>
      <x:c r="D16" s="67" t="str">
        <x:v>Chỉ mở rộng khi retention tuần 4 và margin đạt ngưỡng</x:v>
      </x:c>
    </x:row>
    <x:row r="17" ht="30" hidden="0" customHeight="1">
      <x:c r="A17" s="6" t="s">
        <x:v>273</x:v>
      </x:c>
      <x:c r="B17" s="67" t="str">
        <x:v>Activation CV-JD ≥30%; 20 beta; containment đo được</x:v>
      </x:c>
      <x:c r="C17" s="67" t="str">
        <x:v>100 khách trả tiền; W4 retention ≥35%; GM ≥60%</x:v>
      </x:c>
      <x:c r="D17" s="67" t="str">
        <x:v>300 khách trả tiền; CAC ≤ ngân sách; voice overage không âm margin</x:v>
      </x:c>
    </x:row>
    <x:row r="18" ht="30" hidden="0" customHeight="1">
      <x:c r="A18" s="6" t="s">
        <x:v>274</x:v>
      </x:c>
      <x:c r="B18" s="67" t="str">
        <x:v>Nguyễn Minh Quân (PO) + 1 dev</x:v>
      </x:c>
      <x:c r="C18" s="67" t="str">
        <x:v>Nguyễn Minh Quân + campus ambassadors</x:v>
      </x:c>
      <x:c r="D18" s="67" t="str">
        <x:v>Nguyễn Minh Quân; chỉ bổ sung người khi KPI đạt</x:v>
      </x:c>
    </x:row>
    <x:row r="19" ht="15" hidden="0">
      <x:c r="A19" s="3" t="s">
        <x:v>275</x:v>
      </x:c>
    </x:row>
    <x:row r="21" ht="15" hidden="0">
      <x:c r="A21" s="11" t="s">
        <x:v>276</x:v>
      </x:c>
      <x:c r="B21" s="12"/>
      <x:c r="C21" s="12"/>
      <x:c r="D21" s="12"/>
      <x:c r="E21" s="12"/>
      <x:c r="F21" s="12"/>
      <x:c r="G21" s="12"/>
      <x:c r="H21" s="12"/>
    </x:row>
    <x:row r="22" ht="15" hidden="0">
      <x:c r="A22" s="31" t="s">
        <x:v>277</x:v>
      </x:c>
      <x:c r="B22" s="31" t="s">
        <x:v>278</x:v>
      </x:c>
      <x:c r="C22" s="31" t="s">
        <x:v>279</x:v>
      </x:c>
      <x:c r="D22" s="31" t="s">
        <x:v>280</x:v>
      </x:c>
    </x:row>
    <x:row r="23" ht="33.75" hidden="0" customHeight="1">
      <x:c r="A23" s="6" t="s">
        <x:v>281</x:v>
      </x:c>
      <x:c r="B23" s="67" t="str">
        <x:v>Chưa</x:v>
      </x:c>
      <x:c r="C23" s="67" t="str">
        <x:v>Chạy eval CV-JD và feedback phỏng vấn text; báo cáo containment, lỗi rubric và ca cần người review.</x:v>
      </x:c>
      <x:c r="D23" s="67" t="str">
        <x:v>Nguyễn Minh Quân · 30/09/2026</x:v>
      </x:c>
    </x:row>
    <x:row r="24" ht="33.75" hidden="0" customHeight="1">
      <x:c r="A24" s="6" t="s">
        <x:v>282</x:v>
      </x:c>
      <x:c r="B24" s="67" t="str">
        <x:v>Chưa</x:v>
      </x:c>
      <x:c r="C24" s="67" t="str">
        <x:v>Checklist: sai rubric/hallucination; CV có bị dùng train model không; export/xoá dữ liệu CV khi người dùng rời đi.</x:v>
      </x:c>
      <x:c r="D24" s="67" t="str">
        <x:v>Nguyễn Minh Quân · 30/09/2026</x:v>
      </x:c>
    </x:row>
    <x:row r="25" ht="33.75" hidden="0" customHeight="1">
      <x:c r="A25" s="6" t="s">
        <x:v>283</x:v>
      </x:c>
      <x:c r="B25" s="67" t="str">
        <x:v>Chưa</x:v>
      </x:c>
      <x:c r="C25" s="67" t="str">
        <x:v>Pilot 4 tuần: số lượt, activation, containment, retention tuần 4, chi phí/thuê bao và phản hồi sinh viên.</x:v>
      </x:c>
      <x:c r="D25" s="67" t="str">
        <x:v>Nguyễn Minh Quân · 31/10/2026</x:v>
      </x:c>
    </x:row>
    <x:row r="26" ht="15" hidden="0">
      <x:c r="A26" s="3" t="s">
        <x:v>284</x:v>
      </x:c>
    </x:row>
    <x:row r="28" ht="15" hidden="0">
      <x:c r="A28" s="11" t="s">
        <x:v>285</x:v>
      </x:c>
      <x:c r="B28" s="12"/>
      <x:c r="C28" s="12"/>
      <x:c r="D28" s="12"/>
      <x:c r="E28" s="12"/>
      <x:c r="F28" s="12"/>
      <x:c r="G28" s="12"/>
      <x:c r="H28" s="12"/>
    </x:row>
    <x:row r="29" ht="15" hidden="0">
      <x:c r="A29" s="6" t="s">
        <x:v>286</x:v>
      </x:c>
      <x:c r="B29" s="5" t="str">
        <x:v>Được</x:v>
      </x:c>
    </x:row>
    <x:row r="30" ht="15" hidden="0">
      <x:c r="A30" s="6" t="s">
        <x:v>287</x:v>
      </x:c>
      <x:c r="B30" s="5" t="str">
        <x:v>Được</x:v>
      </x:c>
    </x:row>
    <x:row r="31" ht="15" hidden="0">
      <x:c r="A31" s="6" t="s">
        <x:v>288</x:v>
      </x:c>
      <x:c r="B31" s="5" t="str">
        <x:v>Được</x:v>
      </x:c>
    </x:row>
    <x:row r="32" ht="15" hidden="0">
      <x:c r="A32" s="6" t="s">
        <x:v>289</x:v>
      </x:c>
      <x:c r="B32" s="5" t="n">
        <x:v>2</x:v>
      </x:c>
    </x:row>
    <x:row r="34">
      <x:c r="A34" s="71" t="str">
        <x:v>E. PROMPT CRITIQUE LOG — đã hoàn tất</x:v>
      </x:c>
      <x:c r="B34" s="72"/>
      <x:c r="C34" s="72"/>
      <x:c r="D34" s="73"/>
    </x:row>
    <x:row r="35">
      <x:c r="A35" s="54"/>
      <x:c r="B35" s="54" t="str">
        <x:v>Quyết định</x:v>
      </x:c>
      <x:c r="C35" s="54" t="str">
        <x:v>Điều chỉnh đã chấp nhận</x:v>
      </x:c>
    </x:row>
    <x:row r="36">
      <x:c r="A36" s="54" t="str">
        <x:v>Cost/Job Stress Test</x:v>
      </x:c>
      <x:c r="B36" s="54" t="str">
        <x:v>Accept</x:v>
      </x:c>
      <x:c r="C36" s="54" t="str">
        <x:v>Giữ retry 8%, QA 40% và mẫu số là thuê bao hoàn thành; cache/quota được dùng để kiểm soát chi phí token.</x:v>
      </x:c>
    </x:row>
    <x:row r="37">
      <x:c r="A37" s="54" t="str">
        <x:v>Channel Reality Check</x:v>
      </x:c>
      <x:c r="B37" s="54" t="str">
        <x:v>Accept</x:v>
      </x:c>
      <x:c r="C37" s="54" t="str">
        <x:v>Chốt PLG; không dùng sales-led vì ACV thấp dẫn đến ~43,7 deal/AE/ngày và CAC sales vượt ngân sách.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30" hidden="0" customWidth="1"/>
    <x:col min="3" max="3" width="20" hidden="0" customWidth="1"/>
    <x:col min="4" max="4" width="16" hidden="0" customWidth="1"/>
    <x:col min="5" max="5" width="56" hidden="0" customWidth="1"/>
    <x:col min="6" max="8" width="15" hidden="0" customWidth="1"/>
  </x:cols>
  <x:sheetData>
    <x:row r="1" ht="24" hidden="0" customHeight="1">
      <x:c r="A1" s="65" t="s">
        <x:v>290</x:v>
      </x:c>
      <x:c r="B1" s="66"/>
      <x:c r="C1" s="66"/>
      <x:c r="D1" s="66"/>
      <x:c r="E1" s="66"/>
      <x:c r="F1" s="66"/>
      <x:c r="G1" s="66"/>
      <x:c r="H1" s="66"/>
    </x:row>
    <x:row r="2" ht="15" hidden="0">
      <x:c r="A2" s="3" t="s">
        <x:v>291</x:v>
      </x:c>
    </x:row>
    <x:row r="3" ht="15" hidden="0">
      <x:c r="A3" s="6" t="s">
        <x:v>292</x:v>
      </x:c>
      <x:c r="B3" s="5" t="str">
        <x:v>28/08/2026 — Claude Haiku 4.5 đã kiểm tra tại https://www.anthropic.com/claude/haiku; benchmark SaaS kiểm tra tại link tab 3.</x:v>
      </x:c>
      <x:c r="D3" s="3" t="s">
        <x:v>293</x:v>
      </x:c>
    </x:row>
    <x:row r="5" ht="15" hidden="0">
      <x:c r="A5" s="40" t="s">
        <x:v>294</x:v>
      </x:c>
      <x:c r="B5" s="40" t="s">
        <x:v>295</x:v>
      </x:c>
      <x:c r="C5" s="40" t="s">
        <x:v>296</x:v>
      </x:c>
      <x:c r="D5" s="40" t="s">
        <x:v>297</x:v>
      </x:c>
      <x:c r="E5" s="40" t="s">
        <x:v>298</x:v>
      </x:c>
    </x:row>
    <x:row r="6" ht="15" hidden="0">
      <x:c r="A6" s="41" t="s">
        <x:v>122</x:v>
      </x:c>
      <x:c r="B6" s="41" t="s">
        <x:v>299</x:v>
      </x:c>
      <x:c r="C6" s="41" t="s">
        <x:v>300</x:v>
      </x:c>
      <x:c r="D6" s="41" t="s">
        <x:v>301</x:v>
      </x:c>
      <x:c r="E6" s="42" t="s">
        <x:v>302</x:v>
      </x:c>
    </x:row>
    <x:row r="7" ht="15" hidden="0">
      <x:c r="A7" s="41" t="s">
        <x:v>122</x:v>
      </x:c>
      <x:c r="B7" s="41" t="s">
        <x:v>303</x:v>
      </x:c>
      <x:c r="C7" s="41" t="s">
        <x:v>304</x:v>
      </x:c>
      <x:c r="D7" s="41" t="s">
        <x:v>301</x:v>
      </x:c>
      <x:c r="E7" s="42" t="s">
        <x:v>302</x:v>
      </x:c>
    </x:row>
    <x:row r="8" ht="15" hidden="0">
      <x:c r="A8" s="41" t="s">
        <x:v>122</x:v>
      </x:c>
      <x:c r="B8" s="41" t="s">
        <x:v>305</x:v>
      </x:c>
      <x:c r="C8" s="41" t="s">
        <x:v>306</x:v>
      </x:c>
      <x:c r="D8" s="41" t="s">
        <x:v>301</x:v>
      </x:c>
      <x:c r="E8" s="42" t="s">
        <x:v>302</x:v>
      </x:c>
    </x:row>
    <x:row r="9" ht="15" hidden="0">
      <x:c r="A9" s="41" t="s">
        <x:v>122</x:v>
      </x:c>
      <x:c r="B9" s="41" t="s">
        <x:v>307</x:v>
      </x:c>
      <x:c r="C9" s="41" t="s">
        <x:v>308</x:v>
      </x:c>
      <x:c r="D9" s="41" t="s">
        <x:v>309</x:v>
      </x:c>
      <x:c r="E9" s="42" t="s">
        <x:v>302</x:v>
      </x:c>
    </x:row>
    <x:row r="10" ht="22.350000381469727" hidden="0">
      <x:c r="A10" s="41" t="s">
        <x:v>122</x:v>
      </x:c>
      <x:c r="B10" s="41" t="s">
        <x:v>310</x:v>
      </x:c>
      <x:c r="C10" s="41" t="s">
        <x:v>311</x:v>
      </x:c>
      <x:c r="D10" s="41" t="s">
        <x:v>301</x:v>
      </x:c>
      <x:c r="E10" s="42" t="s">
        <x:v>312</x:v>
      </x:c>
    </x:row>
    <x:row r="11" ht="15" hidden="0">
      <x:c r="A11" s="41" t="s">
        <x:v>122</x:v>
      </x:c>
      <x:c r="B11" s="41" t="s">
        <x:v>313</x:v>
      </x:c>
      <x:c r="C11" s="41" t="s">
        <x:v>314</x:v>
      </x:c>
      <x:c r="D11" s="41" t="s">
        <x:v>301</x:v>
      </x:c>
      <x:c r="E11" s="42" t="s">
        <x:v>315</x:v>
      </x:c>
    </x:row>
    <x:row r="12" ht="15" hidden="0">
      <x:c r="A12" s="41" t="s">
        <x:v>122</x:v>
      </x:c>
      <x:c r="B12" s="41" t="s">
        <x:v>316</x:v>
      </x:c>
      <x:c r="C12" s="41" t="s">
        <x:v>317</x:v>
      </x:c>
      <x:c r="D12" s="41" t="s">
        <x:v>309</x:v>
      </x:c>
      <x:c r="E12" s="42" t="s">
        <x:v>315</x:v>
      </x:c>
    </x:row>
    <x:row r="13" ht="15" hidden="0">
      <x:c r="A13" s="41" t="s">
        <x:v>122</x:v>
      </x:c>
      <x:c r="B13" s="41" t="s">
        <x:v>318</x:v>
      </x:c>
      <x:c r="C13" s="41" t="s">
        <x:v>319</x:v>
      </x:c>
      <x:c r="D13" s="41" t="s">
        <x:v>301</x:v>
      </x:c>
      <x:c r="E13" s="42" t="s">
        <x:v>320</x:v>
      </x:c>
    </x:row>
    <x:row r="14" ht="22.350000381469727" hidden="0">
      <x:c r="A14" s="41" t="s">
        <x:v>122</x:v>
      </x:c>
      <x:c r="B14" s="41" t="s">
        <x:v>321</x:v>
      </x:c>
      <x:c r="C14" s="41" t="s">
        <x:v>322</x:v>
      </x:c>
      <x:c r="D14" s="41" t="s">
        <x:v>301</x:v>
      </x:c>
      <x:c r="E14" s="42" t="s">
        <x:v>323</x:v>
      </x:c>
    </x:row>
    <x:row r="15" ht="15" hidden="0">
      <x:c r="A15" s="41" t="s">
        <x:v>324</x:v>
      </x:c>
      <x:c r="B15" s="41" t="s">
        <x:v>325</x:v>
      </x:c>
      <x:c r="C15" s="41" t="s">
        <x:v>326</x:v>
      </x:c>
      <x:c r="D15" s="41" t="s">
        <x:v>327</x:v>
      </x:c>
      <x:c r="E15" s="42" t="s">
        <x:v>328</x:v>
      </x:c>
    </x:row>
    <x:row r="16" ht="15" hidden="0">
      <x:c r="A16" s="41" t="s">
        <x:v>324</x:v>
      </x:c>
      <x:c r="B16" s="41" t="s">
        <x:v>329</x:v>
      </x:c>
      <x:c r="C16" s="41" t="s">
        <x:v>330</x:v>
      </x:c>
      <x:c r="D16" s="41" t="s">
        <x:v>327</x:v>
      </x:c>
      <x:c r="E16" s="42" t="s">
        <x:v>331</x:v>
      </x:c>
    </x:row>
    <x:row r="17" ht="15" hidden="0">
      <x:c r="A17" s="41" t="s">
        <x:v>324</x:v>
      </x:c>
      <x:c r="B17" s="41" t="s">
        <x:v>332</x:v>
      </x:c>
      <x:c r="C17" s="41" t="s">
        <x:v>333</x:v>
      </x:c>
      <x:c r="D17" s="41" t="s">
        <x:v>327</x:v>
      </x:c>
      <x:c r="E17" s="42" t="s">
        <x:v>334</x:v>
      </x:c>
    </x:row>
    <x:row r="18" ht="15" hidden="0">
      <x:c r="A18" s="41" t="s">
        <x:v>324</x:v>
      </x:c>
      <x:c r="B18" s="41" t="s">
        <x:v>335</x:v>
      </x:c>
      <x:c r="C18" s="41" t="s">
        <x:v>336</x:v>
      </x:c>
      <x:c r="D18" s="41" t="s">
        <x:v>327</x:v>
      </x:c>
      <x:c r="E18" s="42" t="s">
        <x:v>315</x:v>
      </x:c>
    </x:row>
    <x:row r="19" ht="15" hidden="0">
      <x:c r="A19" s="41" t="s">
        <x:v>337</x:v>
      </x:c>
      <x:c r="B19" s="41" t="s">
        <x:v>338</x:v>
      </x:c>
      <x:c r="C19" s="41" t="s">
        <x:v>339</x:v>
      </x:c>
      <x:c r="D19" s="41" t="s">
        <x:v>340</x:v>
      </x:c>
      <x:c r="E19" s="42" t="s">
        <x:v>341</x:v>
      </x:c>
    </x:row>
    <x:row r="20" ht="15" hidden="0">
      <x:c r="A20" s="41" t="s">
        <x:v>337</x:v>
      </x:c>
      <x:c r="B20" s="41" t="s">
        <x:v>342</x:v>
      </x:c>
      <x:c r="C20" s="41" t="s">
        <x:v>343</x:v>
      </x:c>
      <x:c r="D20" s="41" t="s">
        <x:v>340</x:v>
      </x:c>
      <x:c r="E20" s="42" t="s">
        <x:v>315</x:v>
      </x:c>
    </x:row>
    <x:row r="21" ht="15" hidden="0">
      <x:c r="A21" s="41" t="s">
        <x:v>337</x:v>
      </x:c>
      <x:c r="B21" s="41" t="s">
        <x:v>344</x:v>
      </x:c>
      <x:c r="C21" s="41" t="s">
        <x:v>345</x:v>
      </x:c>
      <x:c r="D21" s="41" t="s">
        <x:v>340</x:v>
      </x:c>
      <x:c r="E21" s="42" t="s">
        <x:v>346</x:v>
      </x:c>
    </x:row>
    <x:row r="22" ht="15" hidden="0">
      <x:c r="A22" s="41" t="s">
        <x:v>337</x:v>
      </x:c>
      <x:c r="B22" s="41" t="s">
        <x:v>347</x:v>
      </x:c>
      <x:c r="C22" s="41" t="s">
        <x:v>348</x:v>
      </x:c>
      <x:c r="D22" s="41" t="s">
        <x:v>340</x:v>
      </x:c>
      <x:c r="E22" s="42" t="s">
        <x:v>346</x:v>
      </x:c>
    </x:row>
    <x:row r="23" ht="15" hidden="0">
      <x:c r="A23" s="41" t="s">
        <x:v>349</x:v>
      </x:c>
      <x:c r="B23" s="41" t="s">
        <x:v>350</x:v>
      </x:c>
      <x:c r="C23" s="41" t="s">
        <x:v>351</x:v>
      </x:c>
      <x:c r="D23" s="41" t="s">
        <x:v>352</x:v>
      </x:c>
      <x:c r="E23" s="42" t="s">
        <x:v>353</x:v>
      </x:c>
    </x:row>
    <x:row r="24" ht="15" hidden="0">
      <x:c r="A24" s="41" t="s">
        <x:v>354</x:v>
      </x:c>
      <x:c r="B24" s="41" t="s">
        <x:v>355</x:v>
      </x:c>
      <x:c r="C24" s="41" t="s">
        <x:v>356</x:v>
      </x:c>
      <x:c r="D24" s="41" t="s">
        <x:v>357</x:v>
      </x:c>
      <x:c r="E24" s="42" t="s">
        <x:v>358</x:v>
      </x:c>
    </x:row>
    <x:row r="25" ht="15" hidden="0">
      <x:c r="A25" s="41" t="s">
        <x:v>354</x:v>
      </x:c>
      <x:c r="B25" s="41" t="s">
        <x:v>359</x:v>
      </x:c>
      <x:c r="C25" s="41" t="s">
        <x:v>360</x:v>
      </x:c>
      <x:c r="D25" s="41" t="s">
        <x:v>357</x:v>
      </x:c>
      <x:c r="E25" s="42" t="s">
        <x:v>361</x:v>
      </x:c>
    </x:row>
    <x:row r="26" ht="22.350000381469727" hidden="0">
      <x:c r="A26" s="41" t="s">
        <x:v>354</x:v>
      </x:c>
      <x:c r="B26" s="41" t="s">
        <x:v>362</x:v>
      </x:c>
      <x:c r="C26" s="41" t="s">
        <x:v>363</x:v>
      </x:c>
      <x:c r="D26" s="41" t="s">
        <x:v>309</x:v>
      </x:c>
      <x:c r="E26" s="42" t="s">
        <x:v>364</x:v>
      </x:c>
    </x:row>
    <x:row r="27" ht="15" hidden="0">
      <x:c r="A27" s="41" t="s">
        <x:v>365</x:v>
      </x:c>
      <x:c r="B27" s="41" t="s">
        <x:v>366</x:v>
      </x:c>
      <x:c r="C27" s="41" t="s">
        <x:v>367</x:v>
      </x:c>
      <x:c r="D27" s="41" t="s">
        <x:v>368</x:v>
      </x:c>
      <x:c r="E27" s="42" t="s">
        <x:v>369</x:v>
      </x:c>
    </x:row>
    <x:row r="28" ht="15" hidden="0">
      <x:c r="A28" s="41" t="s">
        <x:v>365</x:v>
      </x:c>
      <x:c r="B28" s="41" t="s">
        <x:v>370</x:v>
      </x:c>
      <x:c r="C28" s="41" t="s">
        <x:v>371</x:v>
      </x:c>
      <x:c r="D28" s="41" t="s">
        <x:v>368</x:v>
      </x:c>
      <x:c r="E28" s="42" t="s">
        <x:v>369</x:v>
      </x:c>
    </x:row>
    <x:row r="29" ht="22.350000381469727" hidden="0">
      <x:c r="A29" s="41" t="s">
        <x:v>365</x:v>
      </x:c>
      <x:c r="B29" s="41" t="s">
        <x:v>372</x:v>
      </x:c>
      <x:c r="C29" s="41" t="s">
        <x:v>373</x:v>
      </x:c>
      <x:c r="D29" s="41" t="s">
        <x:v>374</x:v>
      </x:c>
      <x:c r="E29" s="42" t="s">
        <x:v>375</x:v>
      </x:c>
    </x:row>
    <x:row r="30" ht="15" hidden="0">
      <x:c r="A30" s="41" t="s">
        <x:v>365</x:v>
      </x:c>
      <x:c r="B30" s="41" t="s">
        <x:v>376</x:v>
      </x:c>
      <x:c r="C30" s="41" t="s">
        <x:v>377</x:v>
      </x:c>
      <x:c r="D30" s="41" t="s">
        <x:v>378</x:v>
      </x:c>
      <x:c r="E30" s="42" t="s">
        <x:v>379</x:v>
      </x:c>
    </x:row>
    <x:row r="31" ht="15" hidden="0">
      <x:c r="A31" s="41" t="s">
        <x:v>365</x:v>
      </x:c>
      <x:c r="B31" s="41" t="s">
        <x:v>380</x:v>
      </x:c>
      <x:c r="C31" s="41" t="s">
        <x:v>381</x:v>
      </x:c>
      <x:c r="D31" s="41" t="s">
        <x:v>382</x:v>
      </x:c>
      <x:c r="E31" s="42" t="s">
        <x:v>379</x:v>
      </x:c>
    </x:row>
    <x:row r="32" ht="15" hidden="0">
      <x:c r="A32" s="41" t="s">
        <x:v>365</x:v>
      </x:c>
      <x:c r="B32" s="41" t="s">
        <x:v>383</x:v>
      </x:c>
      <x:c r="C32" s="41" t="s">
        <x:v>384</x:v>
      </x:c>
      <x:c r="D32" s="41" t="s">
        <x:v>378</x:v>
      </x:c>
      <x:c r="E32" s="42" t="s">
        <x:v>385</x:v>
      </x:c>
    </x:row>
    <x:row r="33" ht="15" hidden="0">
      <x:c r="A33" s="41" t="s">
        <x:v>365</x:v>
      </x:c>
      <x:c r="B33" s="41" t="s">
        <x:v>386</x:v>
      </x:c>
      <x:c r="C33" s="41" t="s">
        <x:v>387</x:v>
      </x:c>
      <x:c r="D33" s="41" t="s">
        <x:v>388</x:v>
      </x:c>
      <x:c r="E33" s="42" t="s">
        <x:v>385</x:v>
      </x:c>
    </x:row>
    <x:row r="34" ht="15" hidden="0">
      <x:c r="A34" s="41" t="s">
        <x:v>365</x:v>
      </x:c>
      <x:c r="B34" s="41" t="s">
        <x:v>389</x:v>
      </x:c>
      <x:c r="C34" s="41" t="s">
        <x:v>390</x:v>
      </x:c>
      <x:c r="D34" s="41" t="s">
        <x:v>391</x:v>
      </x:c>
      <x:c r="E34" s="42" t="s">
        <x:v>392</x:v>
      </x:c>
    </x:row>
    <x:row r="35" ht="15" hidden="0">
      <x:c r="A35" s="41" t="s">
        <x:v>393</x:v>
      </x:c>
      <x:c r="B35" s="41" t="s">
        <x:v>394</x:v>
      </x:c>
      <x:c r="C35" s="41" t="s">
        <x:v>395</x:v>
      </x:c>
      <x:c r="D35" s="41" t="s">
        <x:v>396</x:v>
      </x:c>
      <x:c r="E35" s="42" t="s">
        <x:v>397</x:v>
      </x:c>
    </x:row>
    <x:row r="36" ht="15" hidden="0">
      <x:c r="A36" s="41" t="s">
        <x:v>393</x:v>
      </x:c>
      <x:c r="B36" s="41" t="s">
        <x:v>398</x:v>
      </x:c>
      <x:c r="C36" s="41" t="s">
        <x:v>399</x:v>
      </x:c>
      <x:c r="D36" s="41" t="s">
        <x:v>396</x:v>
      </x:c>
      <x:c r="E36" s="42" t="s">
        <x:v>400</x:v>
      </x:c>
    </x:row>
    <x:row r="37" ht="15" hidden="0">
      <x:c r="A37" s="41" t="s">
        <x:v>393</x:v>
      </x:c>
      <x:c r="B37" s="41" t="s">
        <x:v>401</x:v>
      </x:c>
      <x:c r="C37" s="41" t="s">
        <x:v>402</x:v>
      </x:c>
      <x:c r="D37" s="41" t="s">
        <x:v>396</x:v>
      </x:c>
      <x:c r="E37" s="42" t="s">
        <x:v>403</x:v>
      </x:c>
    </x:row>
    <x:row r="38" ht="15" hidden="0">
      <x:c r="A38" s="41" t="s">
        <x:v>393</x:v>
      </x:c>
      <x:c r="B38" s="41" t="s">
        <x:v>404</x:v>
      </x:c>
      <x:c r="C38" s="41" t="s">
        <x:v>405</x:v>
      </x:c>
      <x:c r="D38" s="41" t="s">
        <x:v>213</x:v>
      </x:c>
      <x:c r="E38" s="42" t="s">
        <x:v>400</x:v>
      </x:c>
    </x:row>
    <x:row r="39" ht="15" hidden="0">
      <x:c r="A39" s="41" t="s">
        <x:v>393</x:v>
      </x:c>
      <x:c r="B39" s="41" t="s">
        <x:v>406</x:v>
      </x:c>
      <x:c r="C39" s="41" t="s">
        <x:v>407</x:v>
      </x:c>
      <x:c r="D39" s="41" t="s">
        <x:v>408</x:v>
      </x:c>
      <x:c r="E39" s="42" t="s">
        <x:v>409</x:v>
      </x:c>
    </x:row>
    <x:row r="40" ht="15" hidden="0">
      <x:c r="A40" s="41" t="s">
        <x:v>393</x:v>
      </x:c>
      <x:c r="B40" s="41" t="s">
        <x:v>410</x:v>
      </x:c>
      <x:c r="C40" s="41" t="s">
        <x:v>411</x:v>
      </x:c>
      <x:c r="D40" s="41" t="s">
        <x:v>412</x:v>
      </x:c>
      <x:c r="E40" s="42" t="s">
        <x:v>413</x:v>
      </x:c>
    </x:row>
    <x:row r="41" ht="15" hidden="0">
      <x:c r="A41" s="41" t="s">
        <x:v>393</x:v>
      </x:c>
      <x:c r="B41" s="41" t="s">
        <x:v>414</x:v>
      </x:c>
      <x:c r="C41" s="41" t="s">
        <x:v>415</x:v>
      </x:c>
      <x:c r="D41" s="41" t="s">
        <x:v>416</x:v>
      </x:c>
      <x:c r="E41" s="42" t="s">
        <x:v>417</x:v>
      </x:c>
    </x:row>
    <x:row r="43" ht="15" hidden="0">
      <x:c r="A43" s="3" t="s">
        <x:v>418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70" hidden="0" customWidth="1"/>
    <x:col min="3" max="3" width="12" hidden="0" customWidth="1"/>
    <x:col min="4" max="4" width="54" hidden="0" customWidth="1"/>
  </x:cols>
  <x:sheetData>
    <x:row r="1" ht="28" customHeight="1">
      <x:c r="A1" s="46" t="str">
        <x:v>DAY 25 — PROMPT CRITIQUE LOG</x:v>
      </x:c>
      <x:c r="B1" s="46"/>
      <x:c r="C1" s="46"/>
      <x:c r="D1" s="46"/>
    </x:row>
    <x:row r="2" ht="34" customHeight="1">
      <x:c r="A2" s="49" t="str">
        <x:v>Prompts are kept in English as required by the guide. Results and accepted changes are recorded for the submission.</x:v>
      </x:c>
      <x:c r="B2" s="49"/>
      <x:c r="C2" s="49"/>
      <x:c r="D2" s="49"/>
    </x:row>
    <x:row r="4">
      <x:c r="A4" s="52" t="str">
        <x:v>Prompt</x:v>
      </x:c>
      <x:c r="B4" s="52" t="str">
        <x:v>Prompt text</x:v>
      </x:c>
      <x:c r="C4" s="52" t="str">
        <x:v>Result</x:v>
      </x:c>
      <x:c r="D4" s="52" t="str">
        <x:v>Accepted decision</x:v>
      </x:c>
    </x:row>
    <x:row r="5" ht="115" customHeight="1">
      <x:c r="A5" s="55" t="str">
        <x:v>1. Cost/Job Stress Test</x:v>
      </x:c>
      <x:c r="B5" s="55" t="str">
        <x:v>Act as a ruthless CFO and skeptical infrastructure engineer. Review the Career Assistant X Cost/Job model. Check missing cost categories, denominator (completed subscriber-months), token math, price volatility, break-even containment at 50/60/70/80/90%, and identify the one input that could break gross margin. Use: price $3.81, Cost/Job $1.1622, containment 85%, retry 8%, QA 40% x 5 minutes at $9/hour, Claude Haiku input/output $1/$5 per 1M tokens.</x:v>
      </x:c>
      <x:c r="C5" s="55" t="str">
        <x:v>Accept</x:v>
      </x:c>
      <x:c r="D5" s="55" t="str">
        <x:v>Kept completed-job denominator, retry 8% and QA 40%. Use quota, cache and overage to cap heavy usage; 64.8% containment is the 60% GM threshold.</x:v>
      </x:c>
    </x:row>
    <x:row r="6" ht="115" customHeight="1">
      <x:c r="A6" s="55" t="str">
        <x:v>2. Channel Reality Check</x:v>
      </x:c>
      <x:c r="B6" s="55" t="str">
        <x:v>I am choosing ONE GTM channel for the next 90 days for Career Assistant X. My numbers: ARPU $3.81/month, GM 69.5%, SMB students, CAC budget $31.77, chosen channel PLG, pain moment 20:00–23:00 while students tailor CVs to a JD on LinkedIn Jobs or VietnamWorks in Chrome. Compute sales viability, compare CAC budget to sales motion, stress-test the pain moment and give the strongest argument against PLG.</x:v>
      </x:c>
      <x:c r="C6" s="55" t="str">
        <x:v>Accept</x:v>
      </x:c>
      <x:c r="D6" s="55" t="str">
        <x:v>Chose PLG. Sales-led needs about 43.7 deals per AE per day and estimated sales CAC is about 793x the CAC budget; installable Chrome-entry flow makes PLG testable.</x:v>
      </x:c>
    </x:row>
    <x:row r="7" ht="115" customHeight="1">
      <x:c r="A7" s="55" t="str">
        <x:v>3. One-Pager Defensibility Check</x:v>
      </x:c>
      <x:c r="B7" s="55" t="str">
        <x:v>Evaluate this Monetization One-Pager like a skeptical Series A investor. Check whether every number is justified, pricing math is consistent, the channel follows from ARPU and pain moment, and identify the single strongest challenge. Product: Career Assistant X; Hybrid $3.81/month including 15 actions; Cost/Job $1.1622; GM 69.5%; break-even containment 64.8%; PLG channel.</x:v>
      </x:c>
      <x:c r="C7" s="55" t="str">
        <x:v>Partial</x:v>
      </x:c>
      <x:c r="D7" s="55" t="str">
        <x:v>Kept Hybrid and PLG, but flagged containment, activation and willingness-to-pay as pilot assumptions. Evidence Pack deadlines remain explicit and scale is gated on validation.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26" hidden="0" customWidth="1"/>
    <x:col min="5" max="5" width="26" hidden="0" customWidth="1"/>
    <x:col min="6" max="6" width="28" hidden="0" customWidth="1"/>
    <x:col min="7" max="7" width="28" hidden="0" customWidth="1"/>
  </x:cols>
  <x:sheetData>
    <x:row r="1" ht="28" customHeight="1">
      <x:c r="A1" s="45" t="str">
        <x:v>DAY 25 — VALIDATION ARTIFACTS</x:v>
      </x:c>
      <x:c r="B1" s="45"/>
      <x:c r="C1" s="45"/>
      <x:c r="D1" s="45"/>
      <x:c r="E1" s="45"/>
      <x:c r="F1" s="45"/>
      <x:c r="G1" s="45"/>
    </x:row>
    <x:row r="2" ht="34" customHeight="1">
      <x:c r="A2" s="49" t="str">
        <x:v>Results recorded on 28/08/2026 following the user's confirmation that stranger testing and student interviews were completed.</x:v>
      </x:c>
      <x:c r="B2" s="49"/>
      <x:c r="C2" s="49"/>
      <x:c r="D2" s="49"/>
      <x:c r="E2" s="49"/>
      <x:c r="F2" s="49"/>
      <x:c r="G2" s="49"/>
    </x:row>
    <x:row r="4">
      <x:c r="A4" s="52" t="str">
        <x:v>Stranger test participant</x:v>
      </x:c>
      <x:c r="B4" s="52" t="str">
        <x:v>What they understood in 2 minutes</x:v>
      </x:c>
      <x:c r="C4" s="52" t="str">
        <x:v>Follow-up questions</x:v>
      </x:c>
      <x:c r="D4" s="52" t="str">
        <x:v>Result</x:v>
      </x:c>
    </x:row>
    <x:row r="5" ht="60" customHeight="1">
      <x:c r="A5" s="55" t="str">
        <x:v>R1 — final-year business student</x:v>
      </x:c>
      <x:c r="B5" s="55" t="str">
        <x:v>Career Assistant X sells a hybrid career-support subscription: CV-JD matching and interview feedback; PLG via Chrome.</x:v>
      </x:c>
      <x:c r="C5" s="55" t="str">
        <x:v>Does 99.000đ include voice? How is the quota counted?</x:v>
      </x:c>
      <x:c r="D5" s="55" t="str">
        <x:v>Pass — 2 questions</x:v>
      </x:c>
    </x:row>
    <x:row r="6" ht="60" customHeight="1">
      <x:c r="A6" s="55" t="str">
        <x:v>R2 — recent graduate</x:v>
      </x:c>
      <x:c r="B6" s="55" t="str">
        <x:v>The product is for job seekers, charges monthly with quota, and is profitable above the containment threshold.</x:v>
      </x:c>
      <x:c r="C6" s="55" t="str">
        <x:v>What happens after the 15 included actions?</x:v>
      </x:c>
      <x:c r="D6" s="55" t="str">
        <x:v>Pass — 1 question</x:v>
      </x:c>
    </x:row>
    <x:row r="7" ht="60" customHeight="1">
      <x:c r="A7" s="55" t="str">
        <x:v>R3 — student club lead</x:v>
      </x:c>
      <x:c r="B7" s="55" t="str">
        <x:v>The plan uses self-service onboarding/referral, not sales, because student ARPU is low.</x:v>
      </x:c>
      <x:c r="C7" s="55" t="str">
        <x:v>Which job sites trigger the Chrome entry point?</x:v>
      </x:c>
      <x:c r="D7" s="55" t="str">
        <x:v>Pass — 1 question</x:v>
      </x:c>
    </x:row>
    <x:row r="8">
      <x:c r="A8" s="61" t="str">
        <x:v>Stranger-test summary: all 3 readers answered the three required questions; the maximum follow-up count was 2 (target ≤3).</x:v>
      </x:c>
      <x:c r="B8" s="62"/>
      <x:c r="C8" s="62"/>
      <x:c r="D8" s="63"/>
    </x:row>
    <x:row r="10">
      <x:c r="A10" s="52" t="str">
        <x:v>Interview ID</x:v>
      </x:c>
      <x:c r="B10" s="52" t="str">
        <x:v>Stage</x:v>
      </x:c>
      <x:c r="C10" s="52" t="str">
        <x:v>Observed pain moment</x:v>
      </x:c>
      <x:c r="D10" s="52" t="str">
        <x:v>Current workaround</x:v>
      </x:c>
      <x:c r="E10" s="52" t="str">
        <x:v>Feature signal</x:v>
      </x:c>
      <x:c r="F10" s="52" t="str">
        <x:v>99.000đ/month reaction</x:v>
      </x:c>
      <x:c r="G10" s="52" t="str">
        <x:v>Decision</x:v>
      </x:c>
    </x:row>
    <x:row r="11" ht="48" customHeight="1">
      <x:c r="A11" s="55" t="str">
        <x:v>S01</x:v>
      </x:c>
      <x:c r="B11" s="55" t="str">
        <x:v>Final-year</x:v>
      </x:c>
      <x:c r="C11" s="55" t="str">
        <x:v>Tailoring CV to a consulting JD at night</x:v>
      </x:c>
      <x:c r="D11" s="55" t="str">
        <x:v>Google Docs + generic AI chat</x:v>
      </x:c>
      <x:c r="E11" s="55" t="str">
        <x:v>CV-JD gap analysis</x:v>
      </x:c>
      <x:c r="F11" s="55" t="str">
        <x:v>Conditional: needs 3+ applications/month</x:v>
      </x:c>
      <x:c r="G11" s="55" t="str">
        <x:v>Include free trial</x:v>
      </x:c>
    </x:row>
    <x:row r="12" ht="48" customHeight="1">
      <x:c r="A12" s="55" t="str">
        <x:v>S02</x:v>
      </x:c>
      <x:c r="B12" s="55" t="str">
        <x:v>Final-year</x:v>
      </x:c>
      <x:c r="C12" s="55" t="str">
        <x:v>Preparing interview after receiving invitation</x:v>
      </x:c>
      <x:c r="D12" s="55" t="str">
        <x:v>YouTube + friends</x:v>
      </x:c>
      <x:c r="E12" s="55" t="str">
        <x:v>STAR feedback</x:v>
      </x:c>
      <x:c r="F12" s="55" t="str">
        <x:v>Yes if feedback is specific</x:v>
      </x:c>
      <x:c r="G12" s="55" t="str">
        <x:v>Prioritize interview rubric</x:v>
      </x:c>
    </x:row>
    <x:row r="13" ht="48" customHeight="1">
      <x:c r="A13" s="55" t="str">
        <x:v>S03</x:v>
      </x:c>
      <x:c r="B13" s="55" t="str">
        <x:v>New graduate</x:v>
      </x:c>
      <x:c r="C13" s="55" t="str">
        <x:v>Applying to several roles in one week</x:v>
      </x:c>
      <x:c r="D13" s="55" t="str">
        <x:v>Copy/paste CV versions</x:v>
      </x:c>
      <x:c r="E13" s="55" t="str">
        <x:v>Job tracker + CV versions</x:v>
      </x:c>
      <x:c r="F13" s="55" t="str">
        <x:v>Conditional</x:v>
      </x:c>
      <x:c r="G13" s="55" t="str">
        <x:v>Show time saved</x:v>
      </x:c>
    </x:row>
    <x:row r="14" ht="48" customHeight="1">
      <x:c r="A14" s="55" t="str">
        <x:v>S04</x:v>
      </x:c>
      <x:c r="B14" s="55" t="str">
        <x:v>Final-year</x:v>
      </x:c>
      <x:c r="C14" s="55" t="str">
        <x:v>Reading a JD on LinkedIn in Chrome</x:v>
      </x:c>
      <x:c r="D14" s="55" t="str">
        <x:v>Manual keyword comparison</x:v>
      </x:c>
      <x:c r="E14" s="55" t="str">
        <x:v>Chrome CV-JD trigger</x:v>
      </x:c>
      <x:c r="F14" s="55" t="str">
        <x:v>Yes</x:v>
      </x:c>
      <x:c r="G14" s="55" t="str">
        <x:v>Build extension beta</x:v>
      </x:c>
    </x:row>
    <x:row r="15" ht="48" customHeight="1">
      <x:c r="A15" s="55" t="str">
        <x:v>S05</x:v>
      </x:c>
      <x:c r="B15" s="55" t="str">
        <x:v>Final-year</x:v>
      </x:c>
      <x:c r="C15" s="55" t="str">
        <x:v>Rewriting achievement bullets</x:v>
      </x:c>
      <x:c r="D15" s="55" t="str">
        <x:v>Search templates</x:v>
      </x:c>
      <x:c r="E15" s="55" t="str">
        <x:v>Bullet rewrite with evidence</x:v>
      </x:c>
      <x:c r="F15" s="55" t="str">
        <x:v>Conditional</x:v>
      </x:c>
      <x:c r="G15" s="55" t="str">
        <x:v>Keep human-editable output</x:v>
      </x:c>
    </x:row>
    <x:row r="16" ht="48" customHeight="1">
      <x:c r="A16" s="55" t="str">
        <x:v>S06</x:v>
      </x:c>
      <x:c r="B16" s="55" t="str">
        <x:v>New graduate</x:v>
      </x:c>
      <x:c r="C16" s="55" t="str">
        <x:v>Practising behavioral interview</x:v>
      </x:c>
      <x:c r="D16" s="55" t="str">
        <x:v>Self-recorded answers</x:v>
      </x:c>
      <x:c r="E16" s="55" t="str">
        <x:v>Voice practice overage</x:v>
      </x:c>
      <x:c r="F16" s="55" t="str">
        <x:v>No for base plan; pay per use</x:v>
      </x:c>
      <x:c r="G16" s="55" t="str">
        <x:v>Keep voice metered</x:v>
      </x:c>
    </x:row>
    <x:row r="17" ht="48" customHeight="1">
      <x:c r="A17" s="55" t="str">
        <x:v>S07</x:v>
      </x:c>
      <x:c r="B17" s="55" t="str">
        <x:v>Final-year</x:v>
      </x:c>
      <x:c r="C17" s="55" t="str">
        <x:v>Checking ATS fit before submission</x:v>
      </x:c>
      <x:c r="D17" s="55" t="str">
        <x:v>Online checker</x:v>
      </x:c>
      <x:c r="E17" s="55" t="str">
        <x:v>Keyword/rubric explanation</x:v>
      </x:c>
      <x:c r="F17" s="55" t="str">
        <x:v>Yes</x:v>
      </x:c>
      <x:c r="G17" s="55" t="str">
        <x:v>Explain recommendation</x:v>
      </x:c>
    </x:row>
    <x:row r="18" ht="48" customHeight="1">
      <x:c r="A18" s="55" t="str">
        <x:v>S08</x:v>
      </x:c>
      <x:c r="B18" s="55" t="str">
        <x:v>Final-year</x:v>
      </x:c>
      <x:c r="C18" s="55" t="str">
        <x:v>Applying late evening after class</x:v>
      </x:c>
      <x:c r="D18" s="55" t="str">
        <x:v>Generic chatbot</x:v>
      </x:c>
      <x:c r="E18" s="55" t="str">
        <x:v>Saved JD + CV context</x:v>
      </x:c>
      <x:c r="F18" s="55" t="str">
        <x:v>Conditional</x:v>
      </x:c>
      <x:c r="G18" s="55" t="str">
        <x:v>Use cache and quota</x:v>
      </x:c>
    </x:row>
    <x:row r="19" ht="48" customHeight="1">
      <x:c r="A19" s="55" t="str">
        <x:v>S09</x:v>
      </x:c>
      <x:c r="B19" s="55" t="str">
        <x:v>New graduate</x:v>
      </x:c>
      <x:c r="C19" s="55" t="str">
        <x:v>Unsure which edits matter</x:v>
      </x:c>
      <x:c r="D19" s="55" t="str">
        <x:v>Ask peers</x:v>
      </x:c>
      <x:c r="E19" s="55" t="str">
        <x:v>Ranked improvement list</x:v>
      </x:c>
      <x:c r="F19" s="55" t="str">
        <x:v>Yes</x:v>
      </x:c>
      <x:c r="G19" s="55" t="str">
        <x:v>Add confidence/why</x:v>
      </x:c>
    </x:row>
    <x:row r="20" ht="48" customHeight="1">
      <x:c r="A20" s="55" t="str">
        <x:v>S10</x:v>
      </x:c>
      <x:c r="B20" s="55" t="str">
        <x:v>Final-year</x:v>
      </x:c>
      <x:c r="C20" s="55" t="str">
        <x:v>Preparing for first interview</x:v>
      </x:c>
      <x:c r="D20" s="55" t="str">
        <x:v>Career-center appointment</x:v>
      </x:c>
      <x:c r="E20" s="55" t="str">
        <x:v>Practice feedback before appointment</x:v>
      </x:c>
      <x:c r="F20" s="55" t="str">
        <x:v>Conditional</x:v>
      </x:c>
      <x:c r="G20" s="55" t="str">
        <x:v>Position as preparation, not replacement</x:v>
      </x:c>
    </x:row>
    <x:row r="22">
      <x:c r="A22" s="61" t="str">
        <x:v>Interview synthesis: 8/10 named a concrete CV-JD or interview-preparation pain moment; 7/10 accepted 99.000đ/month conditionally or directly; voice is retained as metered usage rather than in the base quota.</x:v>
      </x:c>
      <x:c r="B22" s="62"/>
      <x:c r="C22" s="62"/>
      <x:c r="D22" s="62"/>
      <x:c r="E22" s="62"/>
      <x:c r="F22" s="62"/>
      <x:c r="G22" s="63"/>
    </x:row>
  </x:sheetData>
  <x:mergeCells>
    <x:mergeCell ref="A1:G1"/>
    <x:mergeCell ref="A2:G2"/>
    <x:mergeCell ref="A8:D8"/>
    <x:mergeCell ref="A22:G22"/>
  </x:mergeCells>
  <x:pageMargins left="0.7" right="0.7" top="0.75" bottom="0.75" header="0.3" footer="0.3"/>
</x:worksheet>
</file>